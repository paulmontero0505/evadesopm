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Operativo" sheetId="1" state="visible" r:id="rId3"/>
    <sheet name="Tabulacion y Minimos" sheetId="2" state="visible" r:id="rId4"/>
    <sheet name="Evaluacion de Desempeno" sheetId="3" state="visible" r:id="rId5"/>
    <sheet name="Parametros" sheetId="4" state="visible" r:id="rId6"/>
    <sheet name="Registro de Fichas" sheetId="5" state="visible" r:id="rId7"/>
    <sheet name="Control Trimestral" sheetId="6" state="visible" r:id="rId8"/>
  </sheets>
  <definedNames>
    <definedName function="false" hidden="false" localSheetId="2" name="_xlnm.Print_Area" vbProcedure="false">'Evaluacion de Desempeno'!$A$1:$D$47</definedName>
    <definedName function="false" hidden="false" localSheetId="0" name="_xlnm.Print_Area" vbProcedure="false">'Input Operativo'!$A$1:$I$60</definedName>
    <definedName function="false" hidden="false" localSheetId="1" name="_xlnm.Print_Area" vbProcedure="false">'Tabulacion y Minimos'!$A$1:$E$30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<sst xmlns="http://schemas.openxmlformats.org/spreadsheetml/2006/main" count="286" uniqueCount="224">
  <si>
    <t xml:space="preserve">COSCO SHIPPING PORTS CHANCAY PERU S.A.  (CSPCP)</t>
  </si>
  <si>
    <t xml:space="preserve">FICHA DE OBSERVACION OPERATIVA POR TURNO  ·  OPM</t>
  </si>
  <si>
    <t xml:space="preserve">Escala 1 a 5. Marque con X. La columna OBJ indica a que objetivo aporta cada tarea. Lo no realizado: N/A.</t>
  </si>
  <si>
    <t xml:space="preserve">Fecha</t>
  </si>
  <si>
    <t xml:space="preserve">Turno</t>
  </si>
  <si>
    <t xml:space="preserve">Nave / Operacion</t>
  </si>
  <si>
    <t xml:space="preserve">Tipo carga</t>
  </si>
  <si>
    <t xml:space="preserve">OPM (codigo)</t>
  </si>
  <si>
    <t xml:space="preserve">Nombre</t>
  </si>
  <si>
    <t xml:space="preserve">Supervisor de operaciones</t>
  </si>
  <si>
    <t xml:space="preserve">OBJ</t>
  </si>
  <si>
    <t xml:space="preserve">ACTIVIDAD</t>
  </si>
  <si>
    <t xml:space="preserve">1
Insatisf.</t>
  </si>
  <si>
    <t xml:space="preserve">2
Regular</t>
  </si>
  <si>
    <t xml:space="preserve">3
Aceptable</t>
  </si>
  <si>
    <t xml:space="preserve">4
Bueno</t>
  </si>
  <si>
    <t xml:space="preserve">5
Excelente</t>
  </si>
  <si>
    <t xml:space="preserve">N/A</t>
  </si>
  <si>
    <t xml:space="preserve">Pts</t>
  </si>
  <si>
    <t xml:space="preserve">TRANSVERSAL (todo turno)</t>
  </si>
  <si>
    <t xml:space="preserve">O4</t>
  </si>
  <si>
    <t xml:space="preserve">Inspeccion preoperacional de equipos y aparejos</t>
  </si>
  <si>
    <t xml:space="preserve">Preparacion y senalizacion del area</t>
  </si>
  <si>
    <t xml:space="preserve">O1</t>
  </si>
  <si>
    <t xml:space="preserve">Uso de EPP</t>
  </si>
  <si>
    <t xml:space="preserve">Orden y limpieza</t>
  </si>
  <si>
    <t xml:space="preserve">AMARRE (si participo)</t>
  </si>
  <si>
    <t xml:space="preserve">O2</t>
  </si>
  <si>
    <t xml:space="preserve">Amarre / desamarre</t>
  </si>
  <si>
    <t xml:space="preserve">Uso de shore tension</t>
  </si>
  <si>
    <t xml:space="preserve">CONTENEDORES</t>
  </si>
  <si>
    <t xml:space="preserve">Senalizacion a grua / portalon</t>
  </si>
  <si>
    <t xml:space="preserve">Trincado / destrincado</t>
  </si>
  <si>
    <t xml:space="preserve">Pin station (retiro y colocacion de pinas)</t>
  </si>
  <si>
    <t xml:space="preserve">Uso de PDA</t>
  </si>
  <si>
    <t xml:space="preserve">Lectura de planos</t>
  </si>
  <si>
    <t xml:space="preserve">Reefer (conexion / monitoreo)</t>
  </si>
  <si>
    <t xml:space="preserve">GRANEL SOLIDO</t>
  </si>
  <si>
    <t xml:space="preserve">Dominio de hopper</t>
  </si>
  <si>
    <t xml:space="preserve">Trimming / nivelacion de carga</t>
  </si>
  <si>
    <t xml:space="preserve">Comunicacion con operadores</t>
  </si>
  <si>
    <t xml:space="preserve">Limpieza de bodegas</t>
  </si>
  <si>
    <t xml:space="preserve">Control de material de izaje</t>
  </si>
  <si>
    <t xml:space="preserve">CARGA FRACCIONADA</t>
  </si>
  <si>
    <t xml:space="preserve">Aparejamiento (rigging)</t>
  </si>
  <si>
    <t xml:space="preserve">Revision de materiales de izaje + alerta de deterioro</t>
  </si>
  <si>
    <t xml:space="preserve">Ejecucion del plan de izaje</t>
  </si>
  <si>
    <t xml:space="preserve">Senalero / rigger</t>
  </si>
  <si>
    <t xml:space="preserve">Aseguramiento de material de izaje</t>
  </si>
  <si>
    <t xml:space="preserve">BIG BAGS</t>
  </si>
  <si>
    <t xml:space="preserve">Eslingado / enganche de big bags con seguridad</t>
  </si>
  <si>
    <t xml:space="preserve">Comunicacion con montacarguista (big bags)</t>
  </si>
  <si>
    <t xml:space="preserve">Revision de materiales de izaje</t>
  </si>
  <si>
    <t xml:space="preserve">Seguridad en maniobras</t>
  </si>
  <si>
    <t xml:space="preserve">PRODUCTIVIDAD</t>
  </si>
  <si>
    <t xml:space="preserve">O3</t>
  </si>
  <si>
    <t xml:space="preserve">Ritmo / rendimiento adecuado a las actividades del turno</t>
  </si>
  <si>
    <t xml:space="preserve">SEGURIDAD</t>
  </si>
  <si>
    <t xml:space="preserve">Bandera de seguridad: incidente u observacion en el turno</t>
  </si>
  <si>
    <t xml:space="preserve">SI</t>
  </si>
  <si>
    <t xml:space="preserve">NO</t>
  </si>
  <si>
    <t xml:space="preserve">PROMEDIOS POR OBJETIVO  (promedio 1-5 de las tareas calificadas en este turno)</t>
  </si>
  <si>
    <t xml:space="preserve">Objetivo</t>
  </si>
  <si>
    <t xml:space="preserve">Tareas calif.</t>
  </si>
  <si>
    <t xml:space="preserve">Promedio 1-5</t>
  </si>
  <si>
    <t xml:space="preserve">Nivel CSPCP</t>
  </si>
  <si>
    <t xml:space="preserve">Seguridad y cumplimiento  (se topa si hay evento de seguridad)</t>
  </si>
  <si>
    <t xml:space="preserve">Ejecucion tecnica por tipo de carga</t>
  </si>
  <si>
    <t xml:space="preserve">Productividad operacional  (se topa si hay evento de seguridad)</t>
  </si>
  <si>
    <t xml:space="preserve">Cuidado de carga y equipos</t>
  </si>
  <si>
    <t xml:space="preserve">Nota: el promedio se calcula solo con las tareas calificadas en este turno (las N/A no cuentan). Puntaje minimo esperado: 3.0 (Aceptable).  Si la bandera de seguridad se marca SI, los objetivos O1 y O3 se topan por debajo del minimo.</t>
  </si>
  <si>
    <t xml:space="preserve">OBSERVACIONES DEL TURNO</t>
  </si>
  <si>
    <t xml:space="preserve">Escala:  1 Insatisfactorio · 2 Regular · 3 Aceptable · 4 Bueno · 5 Excelente · N/A no realizado</t>
  </si>
  <si>
    <t xml:space="preserve">Firma del supervisor: ____________________________     Fecha: ____________</t>
  </si>
  <si>
    <t xml:space="preserve">TABULACION DE ESCALAS Y PUNTAJES MINIMOS ESPERADOS</t>
  </si>
  <si>
    <t xml:space="preserve">El supervisor registra en escala 1-5. Para la evaluacion de desempeno, el promedio 1-5 se convierte a los 3 niveles de CSPCP, manteniendo la alineacion con el Modelo de Liderazgo Institucional.</t>
  </si>
  <si>
    <t xml:space="preserve">A.  ESCALA DE REGISTRO OPERATIVO (1 a 5)</t>
  </si>
  <si>
    <t xml:space="preserve">Puntaje</t>
  </si>
  <si>
    <t xml:space="preserve">Calificacion</t>
  </si>
  <si>
    <t xml:space="preserve">Descripcion</t>
  </si>
  <si>
    <t xml:space="preserve">Insatisfactorio</t>
  </si>
  <si>
    <t xml:space="preserve">No ejecuta segun el estandar; genera riesgo o retrabajo.</t>
  </si>
  <si>
    <t xml:space="preserve">Regular</t>
  </si>
  <si>
    <t xml:space="preserve">Ejecuta con errores frecuentes; requiere supervision constante.</t>
  </si>
  <si>
    <t xml:space="preserve">Aceptable</t>
  </si>
  <si>
    <t xml:space="preserve">Ejecuta conforme al estandar minimo, de forma segura y autonoma.</t>
  </si>
  <si>
    <t xml:space="preserve">Bueno</t>
  </si>
  <si>
    <t xml:space="preserve">Ejecuta con solvencia y sin observaciones; buen ritmo y calidad.</t>
  </si>
  <si>
    <t xml:space="preserve">Excelente</t>
  </si>
  <si>
    <t xml:space="preserve">Ejecuta con excelencia; resuelve imprevistos y apoya a otros.</t>
  </si>
  <si>
    <t xml:space="preserve">B.  CONVERSION AL MODELO CSPCP (3 niveles)</t>
  </si>
  <si>
    <t xml:space="preserve">Significado</t>
  </si>
  <si>
    <t xml:space="preserve">4.5  o mas</t>
  </si>
  <si>
    <t xml:space="preserve">Sobre las Expectativas</t>
  </si>
  <si>
    <t xml:space="preserve">Desempeno consistente entre Bueno y Excelente.</t>
  </si>
  <si>
    <t xml:space="preserve">3.0  a  4.49</t>
  </si>
  <si>
    <t xml:space="preserve">Cumple las Expectativas</t>
  </si>
  <si>
    <t xml:space="preserve">Alcanza o supera el estandar minimo esperado.</t>
  </si>
  <si>
    <t xml:space="preserve">menor a 3.0</t>
  </si>
  <si>
    <t xml:space="preserve">Por Debajo de las Expectativas</t>
  </si>
  <si>
    <t xml:space="preserve">No alcanza el estandar minimo; se documenta como brecha.</t>
  </si>
  <si>
    <t xml:space="preserve">C.  PUNTAJE MINIMO ESPERADO POR TIPO DE CARGA</t>
  </si>
  <si>
    <t xml:space="preserve">Estandar unico para todos los bloques: el promedio del bloque debe alcanzar el minimo esperado.</t>
  </si>
  <si>
    <t xml:space="preserve">Bloque / tipo de carga</t>
  </si>
  <si>
    <t xml:space="preserve">N. actividades</t>
  </si>
  <si>
    <t xml:space="preserve">Minimo esperado</t>
  </si>
  <si>
    <t xml:space="preserve">Equivale a</t>
  </si>
  <si>
    <t xml:space="preserve">Transversal (todo turno)</t>
  </si>
  <si>
    <t xml:space="preserve">Aceptable (3)</t>
  </si>
  <si>
    <t xml:space="preserve">Amarre (si participo)</t>
  </si>
  <si>
    <t xml:space="preserve">Contenedores</t>
  </si>
  <si>
    <t xml:space="preserve">Granel solido</t>
  </si>
  <si>
    <t xml:space="preserve">Carga fraccionada</t>
  </si>
  <si>
    <t xml:space="preserve">Big bags</t>
  </si>
  <si>
    <t xml:space="preserve">Productividad</t>
  </si>
  <si>
    <t xml:space="preserve">Lectura: si el promedio de un bloque queda por debajo de 3.0, ese tipo de carga esta bajo el estandar y debe documentarse como brecha en la evaluacion (posible PIP).</t>
  </si>
  <si>
    <t xml:space="preserve">EVALUACION DE DESEMPENO  ·  OPM</t>
  </si>
  <si>
    <t xml:space="preserve">Categoria / puesto</t>
  </si>
  <si>
    <t xml:space="preserve">Ciclo</t>
  </si>
  <si>
    <t xml:space="preserve">Evaluador (jefe directo)</t>
  </si>
  <si>
    <t xml:space="preserve">A.  LOGRO DE OBJETIVOS  (70%)</t>
  </si>
  <si>
    <t xml:space="preserve">Ingrese el promedio 1-5 del ciclo (viene de los 'Promedios por objetivo' de las fichas de turno).</t>
  </si>
  <si>
    <t xml:space="preserve">Peso</t>
  </si>
  <si>
    <t xml:space="preserve">O1 · Seguridad y cumplimiento</t>
  </si>
  <si>
    <t xml:space="preserve">O2 · Ejecucion tecnica por tipo de carga</t>
  </si>
  <si>
    <t xml:space="preserve">O3 · Productividad operacional</t>
  </si>
  <si>
    <t xml:space="preserve">O4 · Cuidado de carga y equipos</t>
  </si>
  <si>
    <t xml:space="preserve">PUNTAJE OBJETIVOS (70%)  ·  promedio 1-5</t>
  </si>
  <si>
    <t xml:space="preserve">B.  CONDUCTAS CORPORATIVAS  (30%)  ·  Modelo de Liderazgo Institucional CSPCP</t>
  </si>
  <si>
    <t xml:space="preserve">Se califican en 3 niveles y se convierten a la escala 1-5 (Por Debajo=1, Cumple=3, Sobre=5).</t>
  </si>
  <si>
    <t xml:space="preserve">Comportamiento organizacional</t>
  </si>
  <si>
    <t xml:space="preserve">Comunicacion</t>
  </si>
  <si>
    <t xml:space="preserve">Adaptabilidad</t>
  </si>
  <si>
    <t xml:space="preserve">Trabajo en equipo</t>
  </si>
  <si>
    <t xml:space="preserve">Iniciativa e innovacion</t>
  </si>
  <si>
    <t xml:space="preserve">Respeto</t>
  </si>
  <si>
    <t xml:space="preserve">Orientacion a la seguridad</t>
  </si>
  <si>
    <t xml:space="preserve">Orientacion a resultados</t>
  </si>
  <si>
    <t xml:space="preserve">PUNTAJE CONDUCTAS (30%)  ·  escala 1-5</t>
  </si>
  <si>
    <t xml:space="preserve">C.  RESULTADO FINAL</t>
  </si>
  <si>
    <t xml:space="preserve">Nivel objetivos (70%)</t>
  </si>
  <si>
    <t xml:space="preserve">Nivel conductas (30%)</t>
  </si>
  <si>
    <t xml:space="preserve">Score combinado (70/30, escala 1-5)</t>
  </si>
  <si>
    <t xml:space="preserve">NIVEL FINAL</t>
  </si>
  <si>
    <t xml:space="preserve">Regla CSPCP: un 'Por Debajo' en conductas impide un 'Sobre' final.</t>
  </si>
  <si>
    <t xml:space="preserve">D.  EVIDENCIAS Y COMENTARIOS</t>
  </si>
  <si>
    <t xml:space="preserve">E.  PLAN DE DESARROLLO / PIP</t>
  </si>
  <si>
    <t xml:space="preserve">PIP activado (Si/No):</t>
  </si>
  <si>
    <t xml:space="preserve">Acciones / plazos:</t>
  </si>
  <si>
    <t xml:space="preserve">F.  FIRMAS</t>
  </si>
  <si>
    <t xml:space="preserve">____________________</t>
  </si>
  <si>
    <t xml:space="preserve">OPM</t>
  </si>
  <si>
    <t xml:space="preserve">Jefe directo</t>
  </si>
  <si>
    <t xml:space="preserve">Recursos Humanos</t>
  </si>
  <si>
    <t xml:space="preserve">PARAMETROS</t>
  </si>
  <si>
    <t xml:space="preserve">Pesos de objetivos (suman 100%)</t>
  </si>
  <si>
    <t xml:space="preserve">Peso Obj 1 - Seguridad</t>
  </si>
  <si>
    <t xml:space="preserve">Peso Obj 2 - Ejecucion tecnica</t>
  </si>
  <si>
    <t xml:space="preserve">Peso Obj 3 - Productividad</t>
  </si>
  <si>
    <t xml:space="preserve">Peso Obj 4 - Cuidado</t>
  </si>
  <si>
    <t xml:space="preserve">Suma</t>
  </si>
  <si>
    <t xml:space="preserve">Cortes escala 1-5  -&gt;  nivel CSPCP</t>
  </si>
  <si>
    <t xml:space="preserve">Umbral 'Sobre' (&gt;=)</t>
  </si>
  <si>
    <t xml:space="preserve">Umbral 'Cumple' (&gt;=)</t>
  </si>
  <si>
    <t xml:space="preserve">Conversion de conductas a escala 1-5</t>
  </si>
  <si>
    <t xml:space="preserve">Sobre = 5   |   Cumple = 3   |   Por Debajo = 1</t>
  </si>
  <si>
    <t xml:space="preserve">Dimensiones CSPCP</t>
  </si>
  <si>
    <t xml:space="preserve">Peso Objetivos</t>
  </si>
  <si>
    <t xml:space="preserve">Peso Conductas</t>
  </si>
  <si>
    <t xml:space="preserve">Estandar</t>
  </si>
  <si>
    <t xml:space="preserve">Puntaje minimo esperado (1-5)</t>
  </si>
  <si>
    <t xml:space="preserve">Tope por evento de seguridad (O1 y O3)</t>
  </si>
  <si>
    <t xml:space="preserve">Control trimestral</t>
  </si>
  <si>
    <t xml:space="preserve">Piso minimo de fichas por OPM</t>
  </si>
  <si>
    <t xml:space="preserve">% minimo de turnos muestreados</t>
  </si>
  <si>
    <t xml:space="preserve">% de OPM a registrar por turno (supervisor)</t>
  </si>
  <si>
    <t xml:space="preserve">Cobertura minima por tipo de carga (fichas)</t>
  </si>
  <si>
    <t xml:space="preserve">Supervisores distintos minimos</t>
  </si>
  <si>
    <t xml:space="preserve">REGISTRO DE FICHAS DE OBSERVACION  ·  una fila por ficha entregada</t>
  </si>
  <si>
    <t xml:space="preserve">Digite aqui el resultado de cada ficha de observacion. Los promedios O1-O4 se copian del bloque 'PROMEDIOS POR OBJETIVO' de la ficha del turno. La hoja 'Control Trimestral' consolida sola.</t>
  </si>
  <si>
    <t xml:space="preserve">Team</t>
  </si>
  <si>
    <t xml:space="preserve">OPM nombre</t>
  </si>
  <si>
    <t xml:space="preserve">Supervisor</t>
  </si>
  <si>
    <t xml:space="preserve">O1
Seguridad</t>
  </si>
  <si>
    <t xml:space="preserve">O2
Ejecucion</t>
  </si>
  <si>
    <t xml:space="preserve">O3
Product.</t>
  </si>
  <si>
    <t xml:space="preserve">O4
Cuidado</t>
  </si>
  <si>
    <t xml:space="preserve">Evento seg.</t>
  </si>
  <si>
    <t xml:space="preserve">aux</t>
  </si>
  <si>
    <t xml:space="preserve">05/07/2026</t>
  </si>
  <si>
    <t xml:space="preserve">Dia</t>
  </si>
  <si>
    <t xml:space="preserve">A</t>
  </si>
  <si>
    <t xml:space="preserve">OPM-001</t>
  </si>
  <si>
    <t xml:space="preserve">Juan Perez (EJEMPLO)</t>
  </si>
  <si>
    <t xml:space="preserve">C. Rodriguez</t>
  </si>
  <si>
    <t xml:space="preserve">No</t>
  </si>
  <si>
    <t xml:space="preserve">CONTROL Y CONSOLIDACION TRIMESTRAL  ·  OPM</t>
  </si>
  <si>
    <t xml:space="preserve">Liste los codigos de OPM en la columna A. Todo lo demas se calcula solo desde 'Registro de Fichas'. Los promedios O1-O4 son los que se trasladan a la ficha de Evaluacion de Desempeno.</t>
  </si>
  <si>
    <t xml:space="preserve">IDENTIFICACION</t>
  </si>
  <si>
    <t xml:space="preserve">VOLUMEN</t>
  </si>
  <si>
    <t xml:space="preserve">PROMEDIOS DEL TRIMESTRE (1-5)</t>
  </si>
  <si>
    <t xml:space="preserve">VALIDEZ</t>
  </si>
  <si>
    <t xml:space="preserve">COBERTURA POR TIPO DE CARGA</t>
  </si>
  <si>
    <t xml:space="preserve">RESULTADO</t>
  </si>
  <si>
    <t xml:space="preserve">OPM codigo</t>
  </si>
  <si>
    <t xml:space="preserve">Fichas</t>
  </si>
  <si>
    <t xml:space="preserve">Turnos trab.</t>
  </si>
  <si>
    <t xml:space="preserve">Piso 8</t>
  </si>
  <si>
    <t xml:space="preserve">Superv. dist.</t>
  </si>
  <si>
    <t xml:space="preserve">Conten.</t>
  </si>
  <si>
    <t xml:space="preserve">Granel</t>
  </si>
  <si>
    <t xml:space="preserve">Fracc.</t>
  </si>
  <si>
    <t xml:space="preserve">Eventos seg.</t>
  </si>
  <si>
    <t xml:space="preserve">ESTADO</t>
  </si>
  <si>
    <t xml:space="preserve">LEYENDA DE ESTADO</t>
  </si>
  <si>
    <t xml:space="preserve">VALIDA</t>
  </si>
  <si>
    <t xml:space="preserve">Cumple el piso de fichas, el % de muestreo y la diversidad de evaluadores. Se puede evaluar.</t>
  </si>
  <si>
    <t xml:space="preserve">EVIDENCIA INSUFICIENTE</t>
  </si>
  <si>
    <t xml:space="preserve">Menos fichas que el piso minimo. No se fuerza la calificacion; se documenta.</t>
  </si>
  <si>
    <t xml:space="preserve">BAJO % MUESTREO</t>
  </si>
  <si>
    <t xml:space="preserve">Alcanza el piso pero no el % minimo de sus turnos trabajados.</t>
  </si>
  <si>
    <t xml:space="preserve">POCOS EVALUADORES</t>
  </si>
  <si>
    <t xml:space="preserve">Observado por menos supervisores que el minimo; riesgo de sesgo.</t>
  </si>
  <si>
    <t xml:space="preserve">Nota: 'Turnos trab.' se digita (turnos que el OPM efectivamente trabajo en el trimestre) y sirve para validar el % de muestreo. Los promedios O1-O4 ya incluyen el efecto de los eventos de seguridad, porque vienen topados desde la ficha del turno.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</si>
</sst>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"/>
    <numFmt numFmtId="168" formatCode="0%"/>
    <numFmt numFmtId="169" formatCode="0.00%"/>
    <numFmt numFmtId="170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AFC6E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8"/>
      <color rgb="FF002E6D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2E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2E6D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002E6D"/>
      <name val="Arial"/>
      <family val="0"/>
      <charset val="1"/>
    </font>
    <font>
      <b val="true"/>
      <sz val="7"/>
      <color rgb="FFAAAAAA"/>
      <name val="Arial"/>
      <family val="0"/>
      <charset val="1"/>
    </font>
    <font>
      <sz val="7"/>
      <color rgb="FFAAAAA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2E6D"/>
        <bgColor rgb="FF0B3A78"/>
      </patternFill>
    </fill>
    <fill>
      <patternFill patternType="solid">
        <fgColor rgb="FFEF7D00"/>
        <bgColor rgb="FFBF8F00"/>
      </patternFill>
    </fill>
    <fill>
      <patternFill patternType="solid">
        <fgColor rgb="FFE8EEF7"/>
        <bgColor rgb="FFF2F2F2"/>
      </patternFill>
    </fill>
    <fill>
      <patternFill patternType="solid">
        <fgColor rgb="FF0060A9"/>
        <bgColor rgb="FF008080"/>
      </patternFill>
    </fill>
    <fill>
      <patternFill patternType="solid">
        <fgColor rgb="FF1E7B34"/>
        <bgColor rgb="FF008080"/>
      </patternFill>
    </fill>
    <fill>
      <patternFill patternType="solid">
        <fgColor rgb="FFF2F2F2"/>
        <bgColor rgb="FFE8EEF7"/>
      </patternFill>
    </fill>
    <fill>
      <patternFill patternType="solid">
        <fgColor rgb="FFC0392B"/>
        <bgColor rgb="FF993366"/>
      </patternFill>
    </fill>
    <fill>
      <patternFill patternType="solid">
        <fgColor rgb="FF7A5195"/>
        <bgColor rgb="FF7030A0"/>
      </patternFill>
    </fill>
    <fill>
      <patternFill patternType="solid">
        <fgColor rgb="FFFCE4C4"/>
        <bgColor rgb="FFFDEBD3"/>
      </patternFill>
    </fill>
    <fill>
      <patternFill patternType="solid">
        <fgColor rgb="FFF8D7D5"/>
        <bgColor rgb="FFFCE4C4"/>
      </patternFill>
    </fill>
    <fill>
      <patternFill patternType="solid">
        <fgColor rgb="FFFDEBD3"/>
        <bgColor rgb="FFFDE9D9"/>
      </patternFill>
    </fill>
    <fill>
      <patternFill patternType="solid">
        <fgColor rgb="FFDDF0E1"/>
        <bgColor rgb="FFE8EEF7"/>
      </patternFill>
    </fill>
    <fill>
      <patternFill patternType="solid">
        <fgColor rgb="FFFFF7E6"/>
        <bgColor rgb="FFF2F2F2"/>
      </patternFill>
    </fill>
    <fill>
      <patternFill patternType="solid">
        <fgColor rgb="FFFDE9D9"/>
        <bgColor rgb="FFFDEBD3"/>
      </patternFill>
    </fill>
    <fill>
      <patternFill patternType="solid">
        <fgColor rgb="FF0B3A78"/>
        <bgColor rgb="FF002E6D"/>
      </patternFill>
    </fill>
    <fill>
      <patternFill patternType="solid">
        <fgColor rgb="FFBF8F00"/>
        <bgColor rgb="FFEF7D00"/>
      </patternFill>
    </fill>
    <fill>
      <patternFill patternType="solid">
        <fgColor rgb="FF7030A0"/>
        <bgColor rgb="FF7A519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9BEDC"/>
      </left>
      <right style="thin">
        <color rgb="FFA9BEDC"/>
      </right>
      <top style="thin">
        <color rgb="FFA9BEDC"/>
      </top>
      <bottom style="thin">
        <color rgb="FFA9BEDC"/>
      </bottom>
      <diagonal/>
    </border>
    <border diagonalUp="false" diagonalDown="false">
      <left style="medium">
        <color rgb="FF002E6D"/>
      </left>
      <right style="medium">
        <color rgb="FF002E6D"/>
      </right>
      <top style="medium">
        <color rgb="FF002E6D"/>
      </top>
      <bottom style="medium">
        <color rgb="FF002E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FFFFFF"/>
        <sz val="9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1E7B34"/>
        <sz val="9"/>
      </font>
      <fill>
        <patternFill>
          <bgColor rgb="FFDDF0E1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8D7D5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DEBD3"/>
        </patternFill>
      </fill>
    </dxf>
    <dxf>
      <fill>
        <patternFill>
          <bgColor rgb="FFF8D7D5"/>
        </patternFill>
      </fill>
    </dxf>
    <dxf>
      <fill>
        <patternFill>
          <bgColor rgb="FFFDEB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C5700"/>
      <rgbColor rgb="FF800080"/>
      <rgbColor rgb="FF008080"/>
      <rgbColor rgb="FFA9BEDC"/>
      <rgbColor rgb="FF595959"/>
      <rgbColor rgb="FF9999FF"/>
      <rgbColor rgb="FF7030A0"/>
      <rgbColor rgb="FFFFF7E6"/>
      <rgbColor rgb="FFE8EEF7"/>
      <rgbColor rgb="FF660066"/>
      <rgbColor rgb="FFFF8080"/>
      <rgbColor rgb="FF0060A9"/>
      <rgbColor rgb="FFFDE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0E1"/>
      <rgbColor rgb="FFFDEBD3"/>
      <rgbColor rgb="FFAFC6E6"/>
      <rgbColor rgb="FFFCE4C4"/>
      <rgbColor rgb="FFCC99FF"/>
      <rgbColor rgb="FFF8D7D5"/>
      <rgbColor rgb="FF3366FF"/>
      <rgbColor rgb="FF33CCCC"/>
      <rgbColor rgb="FF99CC00"/>
      <rgbColor rgb="FFFFCC00"/>
      <rgbColor rgb="FFBF8F00"/>
      <rgbColor rgb="FFEF7D00"/>
      <rgbColor rgb="FF7A5195"/>
      <rgbColor rgb="FFAAAAAA"/>
      <rgbColor rgb="FF002E6D"/>
      <rgbColor rgb="FF339966"/>
      <rgbColor rgb="FF003300"/>
      <rgbColor rgb="FF333300"/>
      <rgbColor rgb="FFC0392B"/>
      <rgbColor rgb="FF993366"/>
      <rgbColor rgb="FF0B3A7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3"/>
    <col collapsed="false" customWidth="true" hidden="false" outlineLevel="0" max="7" min="3" style="1" width="5.52"/>
    <col collapsed="false" customWidth="true" hidden="false" outlineLevel="0" max="8" min="8" style="1" width="5"/>
    <col collapsed="false" customWidth="true" hidden="false" outlineLevel="0" max="9" min="9" style="1" width="6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2.7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</row>
    <row r="5" customFormat="false" ht="15.75" hidden="false" customHeight="true" outlineLevel="0" collapsed="false">
      <c r="A5" s="6" t="s">
        <v>3</v>
      </c>
      <c r="B5" s="6"/>
      <c r="C5" s="7"/>
      <c r="D5" s="7"/>
      <c r="E5" s="7"/>
      <c r="F5" s="6" t="s">
        <v>4</v>
      </c>
      <c r="G5" s="7"/>
      <c r="H5" s="7"/>
      <c r="I5" s="7"/>
    </row>
    <row r="6" customFormat="false" ht="15.75" hidden="false" customHeight="true" outlineLevel="0" collapsed="false">
      <c r="A6" s="6" t="s">
        <v>5</v>
      </c>
      <c r="B6" s="6"/>
      <c r="C6" s="7"/>
      <c r="D6" s="7"/>
      <c r="E6" s="7"/>
      <c r="F6" s="6" t="s">
        <v>6</v>
      </c>
      <c r="G6" s="7"/>
      <c r="H6" s="7"/>
      <c r="I6" s="7"/>
    </row>
    <row r="7" customFormat="false" ht="15.75" hidden="false" customHeight="true" outlineLevel="0" collapsed="false">
      <c r="A7" s="6" t="s">
        <v>7</v>
      </c>
      <c r="B7" s="6"/>
      <c r="C7" s="7"/>
      <c r="D7" s="7"/>
      <c r="E7" s="7"/>
      <c r="F7" s="6" t="s">
        <v>8</v>
      </c>
      <c r="G7" s="7"/>
      <c r="H7" s="7"/>
      <c r="I7" s="7"/>
    </row>
    <row r="8" customFormat="false" ht="15.75" hidden="false" customHeight="true" outlineLevel="0" collapsed="false">
      <c r="A8" s="6" t="s">
        <v>9</v>
      </c>
      <c r="B8" s="6"/>
      <c r="C8" s="7"/>
      <c r="D8" s="7"/>
      <c r="E8" s="7"/>
      <c r="F8" s="7"/>
      <c r="G8" s="7"/>
      <c r="H8" s="7"/>
      <c r="I8" s="7"/>
    </row>
    <row r="10" customFormat="false" ht="25.5" hidden="false" customHeight="true" outlineLevel="0" collapsed="false">
      <c r="A10" s="8" t="s">
        <v>10</v>
      </c>
      <c r="B10" s="9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</row>
    <row r="11" customFormat="false" ht="13.5" hidden="false" customHeight="true" outlineLevel="0" collapsed="false">
      <c r="A11" s="10" t="s">
        <v>19</v>
      </c>
      <c r="B11" s="10"/>
      <c r="C11" s="11"/>
      <c r="D11" s="11"/>
      <c r="E11" s="11"/>
      <c r="F11" s="11"/>
      <c r="G11" s="11"/>
      <c r="H11" s="11"/>
      <c r="I11" s="11"/>
    </row>
    <row r="12" customFormat="false" ht="13.5" hidden="false" customHeight="true" outlineLevel="0" collapsed="false">
      <c r="A12" s="12" t="s">
        <v>20</v>
      </c>
      <c r="B12" s="13" t="s">
        <v>21</v>
      </c>
      <c r="C12" s="14"/>
      <c r="D12" s="14"/>
      <c r="E12" s="14"/>
      <c r="F12" s="14"/>
      <c r="G12" s="14"/>
      <c r="H12" s="14"/>
      <c r="I12" s="15" t="str">
        <f aca="false">IF(COUNTIF(C12:G12,"X")=0,"",1*(C12="X")+2*(D12="X")+3*(E12="X")+4*(F12="X")+5*(G12="X"))</f>
        <v/>
      </c>
    </row>
    <row r="13" customFormat="false" ht="13.5" hidden="false" customHeight="true" outlineLevel="0" collapsed="false">
      <c r="A13" s="12" t="s">
        <v>20</v>
      </c>
      <c r="B13" s="16" t="s">
        <v>22</v>
      </c>
      <c r="C13" s="17"/>
      <c r="D13" s="17"/>
      <c r="E13" s="17"/>
      <c r="F13" s="17"/>
      <c r="G13" s="17"/>
      <c r="H13" s="17"/>
      <c r="I13" s="15" t="str">
        <f aca="false">IF(COUNTIF(C13:G13,"X")=0,"",1*(C13="X")+2*(D13="X")+3*(E13="X")+4*(F13="X")+5*(G13="X"))</f>
        <v/>
      </c>
    </row>
    <row r="14" customFormat="false" ht="13.5" hidden="false" customHeight="true" outlineLevel="0" collapsed="false">
      <c r="A14" s="18" t="s">
        <v>23</v>
      </c>
      <c r="B14" s="13" t="s">
        <v>24</v>
      </c>
      <c r="C14" s="14"/>
      <c r="D14" s="14"/>
      <c r="E14" s="14"/>
      <c r="F14" s="14"/>
      <c r="G14" s="14"/>
      <c r="H14" s="14"/>
      <c r="I14" s="15" t="str">
        <f aca="false">IF(COUNTIF(C14:G14,"X")=0,"",1*(C14="X")+2*(D14="X")+3*(E14="X")+4*(F14="X")+5*(G14="X"))</f>
        <v/>
      </c>
    </row>
    <row r="15" customFormat="false" ht="13.5" hidden="false" customHeight="true" outlineLevel="0" collapsed="false">
      <c r="A15" s="12" t="s">
        <v>20</v>
      </c>
      <c r="B15" s="16" t="s">
        <v>25</v>
      </c>
      <c r="C15" s="17"/>
      <c r="D15" s="17"/>
      <c r="E15" s="17"/>
      <c r="F15" s="17"/>
      <c r="G15" s="17"/>
      <c r="H15" s="17"/>
      <c r="I15" s="15" t="str">
        <f aca="false">IF(COUNTIF(C15:G15,"X")=0,"",1*(C15="X")+2*(D15="X")+3*(E15="X")+4*(F15="X")+5*(G15="X"))</f>
        <v/>
      </c>
    </row>
    <row r="16" customFormat="false" ht="13.5" hidden="false" customHeight="true" outlineLevel="0" collapsed="false">
      <c r="A16" s="10" t="s">
        <v>26</v>
      </c>
      <c r="B16" s="10"/>
      <c r="C16" s="11"/>
      <c r="D16" s="11"/>
      <c r="E16" s="11"/>
      <c r="F16" s="11"/>
      <c r="G16" s="11"/>
      <c r="H16" s="11"/>
      <c r="I16" s="11"/>
    </row>
    <row r="17" customFormat="false" ht="13.5" hidden="false" customHeight="true" outlineLevel="0" collapsed="false">
      <c r="A17" s="19" t="s">
        <v>27</v>
      </c>
      <c r="B17" s="13" t="s">
        <v>28</v>
      </c>
      <c r="C17" s="14"/>
      <c r="D17" s="14"/>
      <c r="E17" s="14"/>
      <c r="F17" s="14"/>
      <c r="G17" s="14"/>
      <c r="H17" s="14"/>
      <c r="I17" s="15" t="str">
        <f aca="false">IF(COUNTIF(C17:G17,"X")=0,"",1*(C17="X")+2*(D17="X")+3*(E17="X")+4*(F17="X")+5*(G17="X"))</f>
        <v/>
      </c>
    </row>
    <row r="18" customFormat="false" ht="13.5" hidden="false" customHeight="true" outlineLevel="0" collapsed="false">
      <c r="A18" s="19" t="s">
        <v>27</v>
      </c>
      <c r="B18" s="16" t="s">
        <v>29</v>
      </c>
      <c r="C18" s="17"/>
      <c r="D18" s="17"/>
      <c r="E18" s="17"/>
      <c r="F18" s="17"/>
      <c r="G18" s="17"/>
      <c r="H18" s="17"/>
      <c r="I18" s="15" t="str">
        <f aca="false">IF(COUNTIF(C18:G18,"X")=0,"",1*(C18="X")+2*(D18="X")+3*(E18="X")+4*(F18="X")+5*(G18="X"))</f>
        <v/>
      </c>
    </row>
    <row r="19" customFormat="false" ht="13.5" hidden="false" customHeight="true" outlineLevel="0" collapsed="false">
      <c r="A19" s="10" t="s">
        <v>30</v>
      </c>
      <c r="B19" s="10"/>
      <c r="C19" s="11"/>
      <c r="D19" s="11"/>
      <c r="E19" s="11"/>
      <c r="F19" s="11"/>
      <c r="G19" s="11"/>
      <c r="H19" s="11"/>
      <c r="I19" s="11"/>
    </row>
    <row r="20" customFormat="false" ht="13.5" hidden="false" customHeight="true" outlineLevel="0" collapsed="false">
      <c r="A20" s="19" t="s">
        <v>27</v>
      </c>
      <c r="B20" s="13" t="s">
        <v>31</v>
      </c>
      <c r="C20" s="14"/>
      <c r="D20" s="14"/>
      <c r="E20" s="14"/>
      <c r="F20" s="14"/>
      <c r="G20" s="14"/>
      <c r="H20" s="14"/>
      <c r="I20" s="15" t="str">
        <f aca="false">IF(COUNTIF(C20:G20,"X")=0,"",1*(C20="X")+2*(D20="X")+3*(E20="X")+4*(F20="X")+5*(G20="X"))</f>
        <v/>
      </c>
    </row>
    <row r="21" customFormat="false" ht="13.5" hidden="false" customHeight="true" outlineLevel="0" collapsed="false">
      <c r="A21" s="19" t="s">
        <v>27</v>
      </c>
      <c r="B21" s="16" t="s">
        <v>32</v>
      </c>
      <c r="C21" s="17"/>
      <c r="D21" s="17"/>
      <c r="E21" s="17"/>
      <c r="F21" s="17"/>
      <c r="G21" s="17"/>
      <c r="H21" s="17"/>
      <c r="I21" s="15" t="str">
        <f aca="false">IF(COUNTIF(C21:G21,"X")=0,"",1*(C21="X")+2*(D21="X")+3*(E21="X")+4*(F21="X")+5*(G21="X"))</f>
        <v/>
      </c>
    </row>
    <row r="22" customFormat="false" ht="13.5" hidden="false" customHeight="true" outlineLevel="0" collapsed="false">
      <c r="A22" s="19" t="s">
        <v>27</v>
      </c>
      <c r="B22" s="13" t="s">
        <v>33</v>
      </c>
      <c r="C22" s="14"/>
      <c r="D22" s="14"/>
      <c r="E22" s="14"/>
      <c r="F22" s="14"/>
      <c r="G22" s="14"/>
      <c r="H22" s="14"/>
      <c r="I22" s="15" t="str">
        <f aca="false">IF(COUNTIF(C22:G22,"X")=0,"",1*(C22="X")+2*(D22="X")+3*(E22="X")+4*(F22="X")+5*(G22="X"))</f>
        <v/>
      </c>
    </row>
    <row r="23" customFormat="false" ht="13.5" hidden="false" customHeight="true" outlineLevel="0" collapsed="false">
      <c r="A23" s="19" t="s">
        <v>27</v>
      </c>
      <c r="B23" s="16" t="s">
        <v>34</v>
      </c>
      <c r="C23" s="17"/>
      <c r="D23" s="17"/>
      <c r="E23" s="17"/>
      <c r="F23" s="17"/>
      <c r="G23" s="17"/>
      <c r="H23" s="17"/>
      <c r="I23" s="15" t="str">
        <f aca="false">IF(COUNTIF(C23:G23,"X")=0,"",1*(C23="X")+2*(D23="X")+3*(E23="X")+4*(F23="X")+5*(G23="X"))</f>
        <v/>
      </c>
    </row>
    <row r="24" customFormat="false" ht="13.5" hidden="false" customHeight="true" outlineLevel="0" collapsed="false">
      <c r="A24" s="19" t="s">
        <v>27</v>
      </c>
      <c r="B24" s="13" t="s">
        <v>35</v>
      </c>
      <c r="C24" s="14"/>
      <c r="D24" s="14"/>
      <c r="E24" s="14"/>
      <c r="F24" s="14"/>
      <c r="G24" s="14"/>
      <c r="H24" s="14"/>
      <c r="I24" s="15" t="str">
        <f aca="false">IF(COUNTIF(C24:G24,"X")=0,"",1*(C24="X")+2*(D24="X")+3*(E24="X")+4*(F24="X")+5*(G24="X"))</f>
        <v/>
      </c>
    </row>
    <row r="25" customFormat="false" ht="13.5" hidden="false" customHeight="true" outlineLevel="0" collapsed="false">
      <c r="A25" s="19" t="s">
        <v>27</v>
      </c>
      <c r="B25" s="16" t="s">
        <v>36</v>
      </c>
      <c r="C25" s="17"/>
      <c r="D25" s="17"/>
      <c r="E25" s="17"/>
      <c r="F25" s="17"/>
      <c r="G25" s="17"/>
      <c r="H25" s="17"/>
      <c r="I25" s="15" t="str">
        <f aca="false">IF(COUNTIF(C25:G25,"X")=0,"",1*(C25="X")+2*(D25="X")+3*(E25="X")+4*(F25="X")+5*(G25="X"))</f>
        <v/>
      </c>
    </row>
    <row r="26" customFormat="false" ht="13.5" hidden="false" customHeight="true" outlineLevel="0" collapsed="false">
      <c r="A26" s="10" t="s">
        <v>37</v>
      </c>
      <c r="B26" s="10"/>
      <c r="C26" s="11"/>
      <c r="D26" s="11"/>
      <c r="E26" s="11"/>
      <c r="F26" s="11"/>
      <c r="G26" s="11"/>
      <c r="H26" s="11"/>
      <c r="I26" s="11"/>
    </row>
    <row r="27" customFormat="false" ht="13.5" hidden="false" customHeight="true" outlineLevel="0" collapsed="false">
      <c r="A27" s="19" t="s">
        <v>27</v>
      </c>
      <c r="B27" s="13" t="s">
        <v>38</v>
      </c>
      <c r="C27" s="14"/>
      <c r="D27" s="14"/>
      <c r="E27" s="14"/>
      <c r="F27" s="14"/>
      <c r="G27" s="14"/>
      <c r="H27" s="14"/>
      <c r="I27" s="15" t="str">
        <f aca="false">IF(COUNTIF(C27:G27,"X")=0,"",1*(C27="X")+2*(D27="X")+3*(E27="X")+4*(F27="X")+5*(G27="X"))</f>
        <v/>
      </c>
    </row>
    <row r="28" customFormat="false" ht="13.5" hidden="false" customHeight="true" outlineLevel="0" collapsed="false">
      <c r="A28" s="19" t="s">
        <v>27</v>
      </c>
      <c r="B28" s="16" t="s">
        <v>39</v>
      </c>
      <c r="C28" s="17"/>
      <c r="D28" s="17"/>
      <c r="E28" s="17"/>
      <c r="F28" s="17"/>
      <c r="G28" s="17"/>
      <c r="H28" s="17"/>
      <c r="I28" s="15" t="str">
        <f aca="false">IF(COUNTIF(C28:G28,"X")=0,"",1*(C28="X")+2*(D28="X")+3*(E28="X")+4*(F28="X")+5*(G28="X"))</f>
        <v/>
      </c>
    </row>
    <row r="29" customFormat="false" ht="13.5" hidden="false" customHeight="true" outlineLevel="0" collapsed="false">
      <c r="A29" s="19" t="s">
        <v>27</v>
      </c>
      <c r="B29" s="13" t="s">
        <v>40</v>
      </c>
      <c r="C29" s="14"/>
      <c r="D29" s="14"/>
      <c r="E29" s="14"/>
      <c r="F29" s="14"/>
      <c r="G29" s="14"/>
      <c r="H29" s="14"/>
      <c r="I29" s="15" t="str">
        <f aca="false">IF(COUNTIF(C29:G29,"X")=0,"",1*(C29="X")+2*(D29="X")+3*(E29="X")+4*(F29="X")+5*(G29="X"))</f>
        <v/>
      </c>
    </row>
    <row r="30" customFormat="false" ht="13.5" hidden="false" customHeight="true" outlineLevel="0" collapsed="false">
      <c r="A30" s="19" t="s">
        <v>27</v>
      </c>
      <c r="B30" s="16" t="s">
        <v>41</v>
      </c>
      <c r="C30" s="17"/>
      <c r="D30" s="17"/>
      <c r="E30" s="17"/>
      <c r="F30" s="17"/>
      <c r="G30" s="17"/>
      <c r="H30" s="17"/>
      <c r="I30" s="15" t="str">
        <f aca="false">IF(COUNTIF(C30:G30,"X")=0,"",1*(C30="X")+2*(D30="X")+3*(E30="X")+4*(F30="X")+5*(G30="X"))</f>
        <v/>
      </c>
    </row>
    <row r="31" customFormat="false" ht="13.5" hidden="false" customHeight="true" outlineLevel="0" collapsed="false">
      <c r="A31" s="18" t="s">
        <v>23</v>
      </c>
      <c r="B31" s="13" t="s">
        <v>42</v>
      </c>
      <c r="C31" s="14"/>
      <c r="D31" s="14"/>
      <c r="E31" s="14"/>
      <c r="F31" s="14"/>
      <c r="G31" s="14"/>
      <c r="H31" s="14"/>
      <c r="I31" s="15" t="str">
        <f aca="false">IF(COUNTIF(C31:G31,"X")=0,"",1*(C31="X")+2*(D31="X")+3*(E31="X")+4*(F31="X")+5*(G31="X"))</f>
        <v/>
      </c>
    </row>
    <row r="32" customFormat="false" ht="13.5" hidden="false" customHeight="true" outlineLevel="0" collapsed="false">
      <c r="A32" s="10" t="s">
        <v>43</v>
      </c>
      <c r="B32" s="10"/>
      <c r="C32" s="11"/>
      <c r="D32" s="11"/>
      <c r="E32" s="11"/>
      <c r="F32" s="11"/>
      <c r="G32" s="11"/>
      <c r="H32" s="11"/>
      <c r="I32" s="11"/>
    </row>
    <row r="33" customFormat="false" ht="13.5" hidden="false" customHeight="true" outlineLevel="0" collapsed="false">
      <c r="A33" s="19" t="s">
        <v>27</v>
      </c>
      <c r="B33" s="13" t="s">
        <v>44</v>
      </c>
      <c r="C33" s="14"/>
      <c r="D33" s="14"/>
      <c r="E33" s="14"/>
      <c r="F33" s="14"/>
      <c r="G33" s="14"/>
      <c r="H33" s="14"/>
      <c r="I33" s="15" t="str">
        <f aca="false">IF(COUNTIF(C33:G33,"X")=0,"",1*(C33="X")+2*(D33="X")+3*(E33="X")+4*(F33="X")+5*(G33="X"))</f>
        <v/>
      </c>
    </row>
    <row r="34" customFormat="false" ht="13.5" hidden="false" customHeight="true" outlineLevel="0" collapsed="false">
      <c r="A34" s="18" t="s">
        <v>23</v>
      </c>
      <c r="B34" s="16" t="s">
        <v>45</v>
      </c>
      <c r="C34" s="17"/>
      <c r="D34" s="17"/>
      <c r="E34" s="17"/>
      <c r="F34" s="17"/>
      <c r="G34" s="17"/>
      <c r="H34" s="17"/>
      <c r="I34" s="15" t="str">
        <f aca="false">IF(COUNTIF(C34:G34,"X")=0,"",1*(C34="X")+2*(D34="X")+3*(E34="X")+4*(F34="X")+5*(G34="X"))</f>
        <v/>
      </c>
    </row>
    <row r="35" customFormat="false" ht="13.5" hidden="false" customHeight="true" outlineLevel="0" collapsed="false">
      <c r="A35" s="19" t="s">
        <v>27</v>
      </c>
      <c r="B35" s="13" t="s">
        <v>46</v>
      </c>
      <c r="C35" s="14"/>
      <c r="D35" s="14"/>
      <c r="E35" s="14"/>
      <c r="F35" s="14"/>
      <c r="G35" s="14"/>
      <c r="H35" s="14"/>
      <c r="I35" s="15" t="str">
        <f aca="false">IF(COUNTIF(C35:G35,"X")=0,"",1*(C35="X")+2*(D35="X")+3*(E35="X")+4*(F35="X")+5*(G35="X"))</f>
        <v/>
      </c>
    </row>
    <row r="36" customFormat="false" ht="13.5" hidden="false" customHeight="true" outlineLevel="0" collapsed="false">
      <c r="A36" s="19" t="s">
        <v>27</v>
      </c>
      <c r="B36" s="16" t="s">
        <v>47</v>
      </c>
      <c r="C36" s="17"/>
      <c r="D36" s="17"/>
      <c r="E36" s="17"/>
      <c r="F36" s="17"/>
      <c r="G36" s="17"/>
      <c r="H36" s="17"/>
      <c r="I36" s="15" t="str">
        <f aca="false">IF(COUNTIF(C36:G36,"X")=0,"",1*(C36="X")+2*(D36="X")+3*(E36="X")+4*(F36="X")+5*(G36="X"))</f>
        <v/>
      </c>
    </row>
    <row r="37" customFormat="false" ht="13.5" hidden="false" customHeight="true" outlineLevel="0" collapsed="false">
      <c r="A37" s="19" t="s">
        <v>27</v>
      </c>
      <c r="B37" s="13" t="s">
        <v>48</v>
      </c>
      <c r="C37" s="14"/>
      <c r="D37" s="14"/>
      <c r="E37" s="14"/>
      <c r="F37" s="14"/>
      <c r="G37" s="14"/>
      <c r="H37" s="14"/>
      <c r="I37" s="15" t="str">
        <f aca="false">IF(COUNTIF(C37:G37,"X")=0,"",1*(C37="X")+2*(D37="X")+3*(E37="X")+4*(F37="X")+5*(G37="X"))</f>
        <v/>
      </c>
    </row>
    <row r="38" customFormat="false" ht="13.5" hidden="false" customHeight="true" outlineLevel="0" collapsed="false">
      <c r="A38" s="10" t="s">
        <v>49</v>
      </c>
      <c r="B38" s="10"/>
      <c r="C38" s="11"/>
      <c r="D38" s="11"/>
      <c r="E38" s="11"/>
      <c r="F38" s="11"/>
      <c r="G38" s="11"/>
      <c r="H38" s="11"/>
      <c r="I38" s="11"/>
    </row>
    <row r="39" customFormat="false" ht="13.5" hidden="false" customHeight="true" outlineLevel="0" collapsed="false">
      <c r="A39" s="19" t="s">
        <v>27</v>
      </c>
      <c r="B39" s="13" t="s">
        <v>50</v>
      </c>
      <c r="C39" s="14"/>
      <c r="D39" s="14"/>
      <c r="E39" s="14"/>
      <c r="F39" s="14"/>
      <c r="G39" s="14"/>
      <c r="H39" s="14"/>
      <c r="I39" s="15" t="str">
        <f aca="false">IF(COUNTIF(C39:G39,"X")=0,"",1*(C39="X")+2*(D39="X")+3*(E39="X")+4*(F39="X")+5*(G39="X"))</f>
        <v/>
      </c>
    </row>
    <row r="40" customFormat="false" ht="13.5" hidden="false" customHeight="true" outlineLevel="0" collapsed="false">
      <c r="A40" s="19" t="s">
        <v>27</v>
      </c>
      <c r="B40" s="16" t="s">
        <v>51</v>
      </c>
      <c r="C40" s="17"/>
      <c r="D40" s="17"/>
      <c r="E40" s="17"/>
      <c r="F40" s="17"/>
      <c r="G40" s="17"/>
      <c r="H40" s="17"/>
      <c r="I40" s="15" t="str">
        <f aca="false">IF(COUNTIF(C40:G40,"X")=0,"",1*(C40="X")+2*(D40="X")+3*(E40="X")+4*(F40="X")+5*(G40="X"))</f>
        <v/>
      </c>
    </row>
    <row r="41" customFormat="false" ht="13.5" hidden="false" customHeight="true" outlineLevel="0" collapsed="false">
      <c r="A41" s="18" t="s">
        <v>23</v>
      </c>
      <c r="B41" s="13" t="s">
        <v>52</v>
      </c>
      <c r="C41" s="14"/>
      <c r="D41" s="14"/>
      <c r="E41" s="14"/>
      <c r="F41" s="14"/>
      <c r="G41" s="14"/>
      <c r="H41" s="14"/>
      <c r="I41" s="15" t="str">
        <f aca="false">IF(COUNTIF(C41:G41,"X")=0,"",1*(C41="X")+2*(D41="X")+3*(E41="X")+4*(F41="X")+5*(G41="X"))</f>
        <v/>
      </c>
    </row>
    <row r="42" customFormat="false" ht="13.5" hidden="false" customHeight="true" outlineLevel="0" collapsed="false">
      <c r="A42" s="18" t="s">
        <v>23</v>
      </c>
      <c r="B42" s="16" t="s">
        <v>53</v>
      </c>
      <c r="C42" s="17"/>
      <c r="D42" s="17"/>
      <c r="E42" s="17"/>
      <c r="F42" s="17"/>
      <c r="G42" s="17"/>
      <c r="H42" s="17"/>
      <c r="I42" s="15" t="str">
        <f aca="false">IF(COUNTIF(C42:G42,"X")=0,"",1*(C42="X")+2*(D42="X")+3*(E42="X")+4*(F42="X")+5*(G42="X"))</f>
        <v/>
      </c>
    </row>
    <row r="43" customFormat="false" ht="13.5" hidden="false" customHeight="true" outlineLevel="0" collapsed="false">
      <c r="A43" s="10" t="s">
        <v>54</v>
      </c>
      <c r="B43" s="10"/>
      <c r="C43" s="11"/>
      <c r="D43" s="11"/>
      <c r="E43" s="11"/>
      <c r="F43" s="11"/>
      <c r="G43" s="11"/>
      <c r="H43" s="11"/>
      <c r="I43" s="11"/>
    </row>
    <row r="44" customFormat="false" ht="13.5" hidden="false" customHeight="true" outlineLevel="0" collapsed="false">
      <c r="A44" s="20" t="s">
        <v>55</v>
      </c>
      <c r="B44" s="13" t="s">
        <v>56</v>
      </c>
      <c r="C44" s="14"/>
      <c r="D44" s="14"/>
      <c r="E44" s="14"/>
      <c r="F44" s="14"/>
      <c r="G44" s="14"/>
      <c r="H44" s="14"/>
      <c r="I44" s="15" t="str">
        <f aca="false">IF(COUNTIF(C44:G44,"X")=0,"",1*(C44="X")+2*(D44="X")+3*(E44="X")+4*(F44="X")+5*(G44="X"))</f>
        <v/>
      </c>
    </row>
    <row r="45" customFormat="false" ht="13.5" hidden="false" customHeight="true" outlineLevel="0" collapsed="false">
      <c r="A45" s="21" t="s">
        <v>57</v>
      </c>
      <c r="B45" s="21"/>
      <c r="C45" s="22"/>
      <c r="D45" s="22"/>
      <c r="E45" s="22"/>
      <c r="F45" s="22"/>
      <c r="G45" s="22"/>
      <c r="H45" s="22"/>
      <c r="I45" s="22"/>
    </row>
    <row r="46" customFormat="false" ht="13.5" hidden="false" customHeight="true" outlineLevel="0" collapsed="false">
      <c r="A46" s="18" t="s">
        <v>23</v>
      </c>
      <c r="B46" s="13" t="s">
        <v>58</v>
      </c>
      <c r="C46" s="23" t="s">
        <v>59</v>
      </c>
      <c r="D46" s="7"/>
      <c r="E46" s="23" t="s">
        <v>60</v>
      </c>
      <c r="F46" s="7"/>
      <c r="G46" s="7"/>
      <c r="H46" s="7"/>
      <c r="I46" s="7"/>
    </row>
    <row r="48" customFormat="false" ht="16.5" hidden="false" customHeight="true" outlineLevel="0" collapsed="false">
      <c r="A48" s="24" t="s">
        <v>61</v>
      </c>
      <c r="B48" s="24"/>
      <c r="C48" s="24"/>
      <c r="D48" s="24"/>
      <c r="E48" s="24"/>
      <c r="F48" s="24"/>
      <c r="G48" s="24"/>
      <c r="H48" s="24"/>
      <c r="I48" s="24"/>
    </row>
    <row r="49" customFormat="false" ht="15.75" hidden="false" customHeight="true" outlineLevel="0" collapsed="false">
      <c r="A49" s="25" t="s">
        <v>10</v>
      </c>
      <c r="B49" s="25" t="s">
        <v>62</v>
      </c>
      <c r="C49" s="25" t="s">
        <v>63</v>
      </c>
      <c r="D49" s="25"/>
      <c r="E49" s="25" t="s">
        <v>64</v>
      </c>
      <c r="F49" s="25"/>
      <c r="G49" s="25" t="s">
        <v>65</v>
      </c>
      <c r="H49" s="25"/>
      <c r="I49" s="25"/>
    </row>
    <row r="50" customFormat="false" ht="15.75" hidden="false" customHeight="true" outlineLevel="0" collapsed="false">
      <c r="A50" s="18" t="s">
        <v>23</v>
      </c>
      <c r="B50" s="13" t="s">
        <v>66</v>
      </c>
      <c r="C50" s="26" t="n">
        <f aca="false">COUNTIFS($A$11:$A$44,"O1",$I$11:$I$44,"&gt;0")</f>
        <v>0</v>
      </c>
      <c r="D50" s="26"/>
      <c r="E50" s="27" t="str">
        <f aca="false">IFERROR(IF($D$46="X",MIN(SUMIF($A$11:$A$44,"O1",$I$11:$I$44)/COUNTIFS($A$11:$A$44,"O1",$I$11:$I$44,"&gt;0"),Parametros!$B$24),SUMIF($A$11:$A$44,"O1",$I$11:$I$44)/COUNTIFS($A$11:$A$44,"O1",$I$11:$I$44,"&gt;0")),"")</f>
        <v/>
      </c>
      <c r="F50" s="27"/>
      <c r="G50" s="23" t="str">
        <f aca="false">IF(E50="","",IF(E50&gt;=Parametros!$B$11,"Sobre",IF(E50&gt;=Parametros!$B$12,"Cumple","Por Debajo")))</f>
        <v/>
      </c>
      <c r="H50" s="23"/>
      <c r="I50" s="23"/>
    </row>
    <row r="51" customFormat="false" ht="15.75" hidden="false" customHeight="true" outlineLevel="0" collapsed="false">
      <c r="A51" s="19" t="s">
        <v>27</v>
      </c>
      <c r="B51" s="13" t="s">
        <v>67</v>
      </c>
      <c r="C51" s="26" t="n">
        <f aca="false">COUNTIFS($A$11:$A$44,"O2",$I$11:$I$44,"&gt;0")</f>
        <v>0</v>
      </c>
      <c r="D51" s="26"/>
      <c r="E51" s="27" t="str">
        <f aca="false">IFERROR(SUMIF($A$11:$A$44,"O2",$I$11:$I$44)/COUNTIFS($A$11:$A$44,"O2",$I$11:$I$44,"&gt;0"),"")</f>
        <v/>
      </c>
      <c r="F51" s="27"/>
      <c r="G51" s="23" t="str">
        <f aca="false">IF(E51="","",IF(E51&gt;=Parametros!$B$11,"Sobre",IF(E51&gt;=Parametros!$B$12,"Cumple","Por Debajo")))</f>
        <v/>
      </c>
      <c r="H51" s="23"/>
      <c r="I51" s="23"/>
    </row>
    <row r="52" customFormat="false" ht="15.75" hidden="false" customHeight="true" outlineLevel="0" collapsed="false">
      <c r="A52" s="20" t="s">
        <v>55</v>
      </c>
      <c r="B52" s="13" t="s">
        <v>68</v>
      </c>
      <c r="C52" s="26" t="n">
        <f aca="false">COUNTIFS($A$11:$A$44,"O3",$I$11:$I$44,"&gt;0")</f>
        <v>0</v>
      </c>
      <c r="D52" s="26"/>
      <c r="E52" s="27" t="str">
        <f aca="false">IFERROR(IF($D$46="X",MIN(SUMIF($A$11:$A$44,"O3",$I$11:$I$44)/COUNTIFS($A$11:$A$44,"O3",$I$11:$I$44,"&gt;0"),Parametros!$B$24),SUMIF($A$11:$A$44,"O3",$I$11:$I$44)/COUNTIFS($A$11:$A$44,"O3",$I$11:$I$44,"&gt;0")),"")</f>
        <v/>
      </c>
      <c r="F52" s="27"/>
      <c r="G52" s="23" t="str">
        <f aca="false">IF(E52="","",IF(E52&gt;=Parametros!$B$11,"Sobre",IF(E52&gt;=Parametros!$B$12,"Cumple","Por Debajo")))</f>
        <v/>
      </c>
      <c r="H52" s="23"/>
      <c r="I52" s="23"/>
    </row>
    <row r="53" customFormat="false" ht="15.75" hidden="false" customHeight="true" outlineLevel="0" collapsed="false">
      <c r="A53" s="12" t="s">
        <v>20</v>
      </c>
      <c r="B53" s="13" t="s">
        <v>69</v>
      </c>
      <c r="C53" s="26" t="n">
        <f aca="false">COUNTIFS($A$11:$A$44,"O4",$I$11:$I$44,"&gt;0")</f>
        <v>0</v>
      </c>
      <c r="D53" s="26"/>
      <c r="E53" s="27" t="str">
        <f aca="false">IFERROR(SUMIF($A$11:$A$44,"O4",$I$11:$I$44)/COUNTIFS($A$11:$A$44,"O4",$I$11:$I$44,"&gt;0"),"")</f>
        <v/>
      </c>
      <c r="F53" s="27"/>
      <c r="G53" s="23" t="str">
        <f aca="false">IF(E53="","",IF(E53&gt;=Parametros!$B$11,"Sobre",IF(E53&gt;=Parametros!$B$12,"Cumple","Por Debajo")))</f>
        <v/>
      </c>
      <c r="H53" s="23"/>
      <c r="I53" s="23"/>
    </row>
    <row r="54" customFormat="false" ht="15" hidden="false" customHeight="true" outlineLevel="0" collapsed="false">
      <c r="A54" s="28" t="str">
        <f aca="false">IF($D$46="X","EVENTO DE SEGURIDAD EN EL TURNO  ·  Seguridad (O1) y Productividad (O3) quedan POR DEBAJO DE LO ESPERADO, sin importar los puntajes marcados.","")</f>
        <v/>
      </c>
      <c r="B54" s="28"/>
      <c r="C54" s="28"/>
      <c r="D54" s="28"/>
      <c r="E54" s="28"/>
      <c r="F54" s="28"/>
      <c r="G54" s="28"/>
      <c r="H54" s="28"/>
      <c r="I54" s="28"/>
    </row>
    <row r="55" customFormat="false" ht="21.75" hidden="false" customHeight="true" outlineLevel="0" collapsed="false">
      <c r="A55" s="5" t="s">
        <v>70</v>
      </c>
      <c r="B55" s="5"/>
      <c r="C55" s="5"/>
      <c r="D55" s="5"/>
      <c r="E55" s="5"/>
      <c r="F55" s="5"/>
      <c r="G55" s="5"/>
      <c r="H55" s="5"/>
      <c r="I55" s="5"/>
    </row>
    <row r="56" customFormat="false" ht="15" hidden="false" customHeight="true" outlineLevel="0" collapsed="false">
      <c r="A56" s="29" t="s">
        <v>71</v>
      </c>
      <c r="B56" s="29"/>
      <c r="C56" s="29"/>
      <c r="D56" s="29"/>
      <c r="E56" s="29"/>
      <c r="F56" s="29"/>
      <c r="G56" s="29"/>
      <c r="H56" s="29"/>
      <c r="I56" s="29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</row>
    <row r="59" customFormat="false" ht="15" hidden="false" customHeight="true" outlineLevel="0" collapsed="false">
      <c r="A59" s="5" t="s">
        <v>72</v>
      </c>
      <c r="B59" s="5"/>
      <c r="C59" s="5"/>
      <c r="D59" s="5"/>
      <c r="E59" s="5"/>
      <c r="F59" s="5"/>
      <c r="G59" s="5"/>
      <c r="H59" s="5"/>
      <c r="I59" s="5"/>
    </row>
    <row r="60" customFormat="false" ht="18" hidden="false" customHeight="true" outlineLevel="0" collapsed="false">
      <c r="A60" s="30" t="s">
        <v>73</v>
      </c>
      <c r="B60" s="30"/>
      <c r="C60" s="30"/>
      <c r="D60" s="30"/>
      <c r="E60" s="30"/>
      <c r="F60" s="30"/>
      <c r="G60" s="30"/>
      <c r="H60" s="30"/>
      <c r="I60" s="30"/>
    </row>
  </sheetData>
  <mergeCells count="46">
    <mergeCell ref="A1:I1"/>
    <mergeCell ref="A2:I2"/>
    <mergeCell ref="A3:I3"/>
    <mergeCell ref="A4:I4"/>
    <mergeCell ref="A5:B5"/>
    <mergeCell ref="C5:E5"/>
    <mergeCell ref="G5:I5"/>
    <mergeCell ref="A6:B6"/>
    <mergeCell ref="C6:E6"/>
    <mergeCell ref="G6:I6"/>
    <mergeCell ref="A7:B7"/>
    <mergeCell ref="C7:E7"/>
    <mergeCell ref="G7:I7"/>
    <mergeCell ref="A8:B8"/>
    <mergeCell ref="C8:I8"/>
    <mergeCell ref="A11:B11"/>
    <mergeCell ref="A16:B16"/>
    <mergeCell ref="A19:B19"/>
    <mergeCell ref="A26:B26"/>
    <mergeCell ref="A32:B32"/>
    <mergeCell ref="A38:B38"/>
    <mergeCell ref="A43:B43"/>
    <mergeCell ref="A45:B45"/>
    <mergeCell ref="A48:I48"/>
    <mergeCell ref="C49:D49"/>
    <mergeCell ref="E49:F49"/>
    <mergeCell ref="G49:I49"/>
    <mergeCell ref="C50:D50"/>
    <mergeCell ref="E50:F50"/>
    <mergeCell ref="G50:I50"/>
    <mergeCell ref="C51:D51"/>
    <mergeCell ref="E51:F51"/>
    <mergeCell ref="G51:I51"/>
    <mergeCell ref="C52:D52"/>
    <mergeCell ref="E52:F52"/>
    <mergeCell ref="G52:I52"/>
    <mergeCell ref="C53:D53"/>
    <mergeCell ref="E53:F53"/>
    <mergeCell ref="G53:I53"/>
    <mergeCell ref="A54:I54"/>
    <mergeCell ref="A55:I55"/>
    <mergeCell ref="A56:I56"/>
    <mergeCell ref="A57:I57"/>
    <mergeCell ref="A58:I58"/>
    <mergeCell ref="A59:I59"/>
    <mergeCell ref="A60:I60"/>
  </mergeCells>
  <conditionalFormatting sqref="A54:I54">
    <cfRule type="expression" priority="2" aboveAverage="0" equalAverage="0" bottom="0" percent="0" rank="0" text="" dxfId="0">
      <formula>$D$46="X"</formula>
    </cfRule>
  </conditionalFormatting>
  <dataValidations count="1">
    <dataValidation allowBlank="true" errorStyle="stop" operator="between" showDropDown="false" showErrorMessage="false" showInputMessage="false" sqref="C12:H15 C17:H18 C20:H25 C27:H31 C33:H37 C39:H42 C44:H44 D46 F46" type="list">
      <formula1>"X"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24" hidden="false" customHeight="true" outlineLevel="0" collapsed="false">
      <c r="A2" s="3" t="s">
        <v>74</v>
      </c>
      <c r="B2" s="3"/>
      <c r="C2" s="3"/>
      <c r="D2" s="3"/>
      <c r="E2" s="3"/>
    </row>
    <row r="3" customFormat="false" ht="3.75" hidden="false" customHeight="true" outlineLevel="0" collapsed="false">
      <c r="A3" s="4"/>
      <c r="B3" s="4"/>
      <c r="C3" s="4"/>
      <c r="D3" s="4"/>
      <c r="E3" s="4"/>
    </row>
    <row r="4" customFormat="false" ht="21.75" hidden="false" customHeight="true" outlineLevel="0" collapsed="false">
      <c r="A4" s="5" t="s">
        <v>75</v>
      </c>
      <c r="B4" s="5"/>
      <c r="C4" s="5"/>
      <c r="D4" s="5"/>
      <c r="E4" s="5"/>
    </row>
    <row r="6" customFormat="false" ht="16.5" hidden="false" customHeight="true" outlineLevel="0" collapsed="false">
      <c r="A6" s="24" t="s">
        <v>76</v>
      </c>
      <c r="B6" s="24"/>
      <c r="C6" s="24"/>
      <c r="D6" s="24"/>
      <c r="E6" s="24"/>
    </row>
    <row r="7" customFormat="false" ht="15" hidden="false" customHeight="true" outlineLevel="0" collapsed="false">
      <c r="A7" s="25" t="s">
        <v>77</v>
      </c>
      <c r="B7" s="25" t="s">
        <v>78</v>
      </c>
      <c r="C7" s="25" t="s">
        <v>79</v>
      </c>
      <c r="D7" s="25"/>
      <c r="E7" s="25"/>
    </row>
    <row r="8" customFormat="false" ht="15.75" hidden="false" customHeight="true" outlineLevel="0" collapsed="false">
      <c r="A8" s="31" t="n">
        <v>1</v>
      </c>
      <c r="B8" s="32" t="s">
        <v>80</v>
      </c>
      <c r="C8" s="13" t="s">
        <v>81</v>
      </c>
      <c r="D8" s="13"/>
      <c r="E8" s="13"/>
    </row>
    <row r="9" customFormat="false" ht="15.75" hidden="false" customHeight="true" outlineLevel="0" collapsed="false">
      <c r="A9" s="31" t="n">
        <v>2</v>
      </c>
      <c r="B9" s="32" t="s">
        <v>82</v>
      </c>
      <c r="C9" s="13" t="s">
        <v>83</v>
      </c>
      <c r="D9" s="13"/>
      <c r="E9" s="13"/>
    </row>
    <row r="10" customFormat="false" ht="15.75" hidden="false" customHeight="true" outlineLevel="0" collapsed="false">
      <c r="A10" s="33" t="n">
        <v>3</v>
      </c>
      <c r="B10" s="32" t="s">
        <v>84</v>
      </c>
      <c r="C10" s="13" t="s">
        <v>85</v>
      </c>
      <c r="D10" s="13"/>
      <c r="E10" s="13"/>
    </row>
    <row r="11" customFormat="false" ht="15.75" hidden="false" customHeight="true" outlineLevel="0" collapsed="false">
      <c r="A11" s="34" t="n">
        <v>4</v>
      </c>
      <c r="B11" s="32" t="s">
        <v>86</v>
      </c>
      <c r="C11" s="13" t="s">
        <v>87</v>
      </c>
      <c r="D11" s="13"/>
      <c r="E11" s="13"/>
    </row>
    <row r="12" customFormat="false" ht="15.75" hidden="false" customHeight="true" outlineLevel="0" collapsed="false">
      <c r="A12" s="34" t="n">
        <v>5</v>
      </c>
      <c r="B12" s="32" t="s">
        <v>88</v>
      </c>
      <c r="C12" s="13" t="s">
        <v>89</v>
      </c>
      <c r="D12" s="13"/>
      <c r="E12" s="13"/>
    </row>
    <row r="14" customFormat="false" ht="16.5" hidden="false" customHeight="true" outlineLevel="0" collapsed="false">
      <c r="A14" s="24" t="s">
        <v>90</v>
      </c>
      <c r="B14" s="24"/>
      <c r="C14" s="24"/>
      <c r="D14" s="24"/>
      <c r="E14" s="24"/>
    </row>
    <row r="15" customFormat="false" ht="15" hidden="false" customHeight="true" outlineLevel="0" collapsed="false">
      <c r="A15" s="25" t="s">
        <v>64</v>
      </c>
      <c r="B15" s="25" t="s">
        <v>65</v>
      </c>
      <c r="C15" s="25"/>
      <c r="D15" s="25" t="s">
        <v>91</v>
      </c>
      <c r="E15" s="25"/>
    </row>
    <row r="16" customFormat="false" ht="16.5" hidden="false" customHeight="true" outlineLevel="0" collapsed="false">
      <c r="A16" s="23" t="s">
        <v>92</v>
      </c>
      <c r="B16" s="35" t="s">
        <v>93</v>
      </c>
      <c r="C16" s="35"/>
      <c r="D16" s="13" t="s">
        <v>94</v>
      </c>
      <c r="E16" s="13"/>
    </row>
    <row r="17" customFormat="false" ht="16.5" hidden="false" customHeight="true" outlineLevel="0" collapsed="false">
      <c r="A17" s="23" t="s">
        <v>95</v>
      </c>
      <c r="B17" s="36" t="s">
        <v>96</v>
      </c>
      <c r="C17" s="36"/>
      <c r="D17" s="13" t="s">
        <v>97</v>
      </c>
      <c r="E17" s="13"/>
    </row>
    <row r="18" customFormat="false" ht="16.5" hidden="false" customHeight="true" outlineLevel="0" collapsed="false">
      <c r="A18" s="23" t="s">
        <v>98</v>
      </c>
      <c r="B18" s="37" t="s">
        <v>99</v>
      </c>
      <c r="C18" s="37"/>
      <c r="D18" s="13" t="s">
        <v>100</v>
      </c>
      <c r="E18" s="13"/>
    </row>
    <row r="20" customFormat="false" ht="16.5" hidden="false" customHeight="true" outlineLevel="0" collapsed="false">
      <c r="A20" s="24" t="s">
        <v>101</v>
      </c>
      <c r="B20" s="24"/>
      <c r="C20" s="24"/>
      <c r="D20" s="24"/>
      <c r="E20" s="24"/>
    </row>
    <row r="21" customFormat="false" ht="15" hidden="false" customHeight="true" outlineLevel="0" collapsed="false">
      <c r="A21" s="5" t="s">
        <v>102</v>
      </c>
      <c r="B21" s="5"/>
      <c r="C21" s="5"/>
      <c r="D21" s="5"/>
      <c r="E21" s="5"/>
    </row>
    <row r="22" customFormat="false" ht="15" hidden="false" customHeight="true" outlineLevel="0" collapsed="false">
      <c r="A22" s="25" t="s">
        <v>103</v>
      </c>
      <c r="B22" s="25" t="s">
        <v>104</v>
      </c>
      <c r="C22" s="25" t="s">
        <v>105</v>
      </c>
      <c r="D22" s="25" t="s">
        <v>106</v>
      </c>
      <c r="E22" s="25"/>
    </row>
    <row r="23" customFormat="false" ht="15.75" hidden="false" customHeight="true" outlineLevel="0" collapsed="false">
      <c r="A23" s="13" t="s">
        <v>107</v>
      </c>
      <c r="B23" s="38" t="n">
        <v>4</v>
      </c>
      <c r="C23" s="39" t="n">
        <f aca="false">Parametros!$B$23</f>
        <v>3</v>
      </c>
      <c r="D23" s="13" t="s">
        <v>108</v>
      </c>
      <c r="E23" s="13"/>
    </row>
    <row r="24" customFormat="false" ht="15.75" hidden="false" customHeight="true" outlineLevel="0" collapsed="false">
      <c r="A24" s="13" t="s">
        <v>109</v>
      </c>
      <c r="B24" s="38" t="n">
        <v>2</v>
      </c>
      <c r="C24" s="39" t="n">
        <f aca="false">Parametros!$B$23</f>
        <v>3</v>
      </c>
      <c r="D24" s="13" t="s">
        <v>108</v>
      </c>
      <c r="E24" s="13"/>
    </row>
    <row r="25" customFormat="false" ht="15.75" hidden="false" customHeight="true" outlineLevel="0" collapsed="false">
      <c r="A25" s="13" t="s">
        <v>110</v>
      </c>
      <c r="B25" s="38" t="n">
        <v>6</v>
      </c>
      <c r="C25" s="39" t="n">
        <f aca="false">Parametros!$B$23</f>
        <v>3</v>
      </c>
      <c r="D25" s="13" t="s">
        <v>108</v>
      </c>
      <c r="E25" s="13"/>
    </row>
    <row r="26" customFormat="false" ht="15.75" hidden="false" customHeight="true" outlineLevel="0" collapsed="false">
      <c r="A26" s="13" t="s">
        <v>111</v>
      </c>
      <c r="B26" s="38" t="n">
        <v>5</v>
      </c>
      <c r="C26" s="39" t="n">
        <f aca="false">Parametros!$B$23</f>
        <v>3</v>
      </c>
      <c r="D26" s="13" t="s">
        <v>108</v>
      </c>
      <c r="E26" s="13"/>
    </row>
    <row r="27" customFormat="false" ht="15.75" hidden="false" customHeight="true" outlineLevel="0" collapsed="false">
      <c r="A27" s="13" t="s">
        <v>112</v>
      </c>
      <c r="B27" s="38" t="n">
        <v>5</v>
      </c>
      <c r="C27" s="39" t="n">
        <f aca="false">Parametros!$B$23</f>
        <v>3</v>
      </c>
      <c r="D27" s="13" t="s">
        <v>108</v>
      </c>
      <c r="E27" s="13"/>
    </row>
    <row r="28" customFormat="false" ht="15.75" hidden="false" customHeight="true" outlineLevel="0" collapsed="false">
      <c r="A28" s="13" t="s">
        <v>113</v>
      </c>
      <c r="B28" s="38" t="n">
        <v>4</v>
      </c>
      <c r="C28" s="39" t="n">
        <f aca="false">Parametros!$B$23</f>
        <v>3</v>
      </c>
      <c r="D28" s="13" t="s">
        <v>108</v>
      </c>
      <c r="E28" s="13"/>
    </row>
    <row r="29" customFormat="false" ht="15.75" hidden="false" customHeight="true" outlineLevel="0" collapsed="false">
      <c r="A29" s="13" t="s">
        <v>114</v>
      </c>
      <c r="B29" s="38" t="n">
        <v>1</v>
      </c>
      <c r="C29" s="39" t="n">
        <f aca="false">Parametros!$B$23</f>
        <v>3</v>
      </c>
      <c r="D29" s="13" t="s">
        <v>108</v>
      </c>
      <c r="E29" s="13"/>
    </row>
    <row r="30" customFormat="false" ht="21.75" hidden="false" customHeight="true" outlineLevel="0" collapsed="false">
      <c r="A30" s="5" t="s">
        <v>115</v>
      </c>
      <c r="B30" s="5"/>
      <c r="C30" s="5"/>
      <c r="D30" s="5"/>
      <c r="E30" s="5"/>
    </row>
  </sheetData>
  <mergeCells count="31">
    <mergeCell ref="A1:E1"/>
    <mergeCell ref="A2:E2"/>
    <mergeCell ref="A3:E3"/>
    <mergeCell ref="A4:E4"/>
    <mergeCell ref="A6:E6"/>
    <mergeCell ref="C7:E7"/>
    <mergeCell ref="C8:E8"/>
    <mergeCell ref="C9:E9"/>
    <mergeCell ref="C10:E10"/>
    <mergeCell ref="C11:E11"/>
    <mergeCell ref="C12:E12"/>
    <mergeCell ref="A14:E14"/>
    <mergeCell ref="B15:C15"/>
    <mergeCell ref="D15:E15"/>
    <mergeCell ref="B16:C16"/>
    <mergeCell ref="D16:E16"/>
    <mergeCell ref="B17:C17"/>
    <mergeCell ref="D17:E17"/>
    <mergeCell ref="B18:C18"/>
    <mergeCell ref="D18:E18"/>
    <mergeCell ref="A20:E20"/>
    <mergeCell ref="A21:E21"/>
    <mergeCell ref="D22:E22"/>
    <mergeCell ref="D23:E23"/>
    <mergeCell ref="D24:E24"/>
    <mergeCell ref="D25:E25"/>
    <mergeCell ref="D26:E26"/>
    <mergeCell ref="D27:E27"/>
    <mergeCell ref="D28:E28"/>
    <mergeCell ref="D29:E29"/>
    <mergeCell ref="A30:E30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1"/>
    <col collapsed="false" customWidth="true" hidden="false" outlineLevel="0" max="4" min="3" style="1" width="1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</row>
    <row r="2" customFormat="false" ht="24" hidden="false" customHeight="true" outlineLevel="0" collapsed="false">
      <c r="A2" s="3" t="s">
        <v>116</v>
      </c>
      <c r="B2" s="3"/>
      <c r="C2" s="3"/>
      <c r="D2" s="3"/>
    </row>
    <row r="3" customFormat="false" ht="3.75" hidden="false" customHeight="true" outlineLevel="0" collapsed="false">
      <c r="A3" s="4"/>
      <c r="B3" s="4"/>
      <c r="C3" s="4"/>
      <c r="D3" s="4"/>
    </row>
    <row r="5" customFormat="false" ht="15.75" hidden="false" customHeight="true" outlineLevel="0" collapsed="false">
      <c r="A5" s="6" t="s">
        <v>7</v>
      </c>
      <c r="B5" s="7"/>
      <c r="C5" s="6" t="s">
        <v>8</v>
      </c>
      <c r="D5" s="7"/>
    </row>
    <row r="6" customFormat="false" ht="15.75" hidden="false" customHeight="true" outlineLevel="0" collapsed="false">
      <c r="A6" s="6" t="s">
        <v>117</v>
      </c>
      <c r="B6" s="7"/>
      <c r="C6" s="6" t="s">
        <v>118</v>
      </c>
      <c r="D6" s="7"/>
    </row>
    <row r="7" customFormat="false" ht="15.75" hidden="false" customHeight="true" outlineLevel="0" collapsed="false">
      <c r="A7" s="6" t="s">
        <v>119</v>
      </c>
      <c r="B7" s="7"/>
      <c r="C7" s="6" t="s">
        <v>3</v>
      </c>
      <c r="D7" s="7"/>
    </row>
    <row r="9" customFormat="false" ht="16.5" hidden="false" customHeight="true" outlineLevel="0" collapsed="false">
      <c r="A9" s="24" t="s">
        <v>120</v>
      </c>
      <c r="B9" s="24"/>
      <c r="C9" s="24"/>
      <c r="D9" s="24"/>
    </row>
    <row r="10" customFormat="false" ht="12" hidden="false" customHeight="true" outlineLevel="0" collapsed="false">
      <c r="A10" s="5" t="s">
        <v>121</v>
      </c>
      <c r="B10" s="5"/>
      <c r="C10" s="5"/>
      <c r="D10" s="5"/>
    </row>
    <row r="11" customFormat="false" ht="15.75" hidden="false" customHeight="true" outlineLevel="0" collapsed="false">
      <c r="A11" s="25" t="s">
        <v>62</v>
      </c>
      <c r="B11" s="25" t="s">
        <v>122</v>
      </c>
      <c r="C11" s="25" t="s">
        <v>64</v>
      </c>
      <c r="D11" s="25" t="s">
        <v>65</v>
      </c>
    </row>
    <row r="12" customFormat="false" ht="15" hidden="false" customHeight="true" outlineLevel="0" collapsed="false">
      <c r="A12" s="13" t="s">
        <v>123</v>
      </c>
      <c r="B12" s="40" t="n">
        <f aca="false">Parametros!$B$4</f>
        <v>0.4</v>
      </c>
      <c r="C12" s="41"/>
      <c r="D12" s="42" t="str">
        <f aca="false">IF(C12="","",IF(C12&gt;=Parametros!$B$11,"Sobre",IF(C12&gt;=Parametros!$B$12,"Cumple","Por Debajo")))</f>
        <v/>
      </c>
    </row>
    <row r="13" customFormat="false" ht="15" hidden="false" customHeight="true" outlineLevel="0" collapsed="false">
      <c r="A13" s="13" t="s">
        <v>124</v>
      </c>
      <c r="B13" s="40" t="n">
        <f aca="false">Parametros!$B$5</f>
        <v>0.3</v>
      </c>
      <c r="C13" s="41"/>
      <c r="D13" s="42" t="str">
        <f aca="false">IF(C13="","",IF(C13&gt;=Parametros!$B$11,"Sobre",IF(C13&gt;=Parametros!$B$12,"Cumple","Por Debajo")))</f>
        <v/>
      </c>
    </row>
    <row r="14" customFormat="false" ht="15" hidden="false" customHeight="true" outlineLevel="0" collapsed="false">
      <c r="A14" s="13" t="s">
        <v>125</v>
      </c>
      <c r="B14" s="40" t="n">
        <f aca="false">Parametros!$B$6</f>
        <v>0.15</v>
      </c>
      <c r="C14" s="41"/>
      <c r="D14" s="42" t="str">
        <f aca="false">IF(C14="","",IF(C14&gt;=Parametros!$B$11,"Sobre",IF(C14&gt;=Parametros!$B$12,"Cumple","Por Debajo")))</f>
        <v/>
      </c>
    </row>
    <row r="15" customFormat="false" ht="15" hidden="false" customHeight="true" outlineLevel="0" collapsed="false">
      <c r="A15" s="13" t="s">
        <v>126</v>
      </c>
      <c r="B15" s="40" t="n">
        <f aca="false">Parametros!$B$7</f>
        <v>0.15</v>
      </c>
      <c r="C15" s="41"/>
      <c r="D15" s="42" t="str">
        <f aca="false">IF(C15="","",IF(C15&gt;=Parametros!$B$11,"Sobre",IF(C15&gt;=Parametros!$B$12,"Cumple","Por Debajo")))</f>
        <v/>
      </c>
    </row>
    <row r="16" customFormat="false" ht="21.75" hidden="false" customHeight="true" outlineLevel="0" collapsed="false">
      <c r="A16" s="43" t="s">
        <v>127</v>
      </c>
      <c r="B16" s="44"/>
      <c r="C16" s="45" t="str">
        <f aca="false">IFERROR((IF(C12="",0,B12*C12)+IF(C13="",0,B13*C13)+IF(C14="",0,B14*C14)+IF(C15="",0,B15*C15))/(IF(C12="",0,B12)+IF(C13="",0,B13)+IF(C14="",0,B14)+IF(C15="",0,B15)),"")</f>
        <v/>
      </c>
      <c r="D16" s="46" t="str">
        <f aca="false">IF(C16="","",IF(C16&gt;=Parametros!$B$11,"Sobre",IF(C16&gt;=Parametros!$B$12,"Cumple","Por Debajo")))</f>
        <v/>
      </c>
    </row>
    <row r="18" customFormat="false" ht="16.5" hidden="false" customHeight="true" outlineLevel="0" collapsed="false">
      <c r="A18" s="24" t="s">
        <v>128</v>
      </c>
      <c r="B18" s="24"/>
      <c r="C18" s="24"/>
      <c r="D18" s="24"/>
    </row>
    <row r="19" customFormat="false" ht="12" hidden="false" customHeight="true" outlineLevel="0" collapsed="false">
      <c r="A19" s="5" t="s">
        <v>129</v>
      </c>
      <c r="B19" s="5"/>
      <c r="C19" s="5"/>
      <c r="D19" s="5"/>
    </row>
    <row r="20" customFormat="false" ht="15.75" hidden="false" customHeight="true" outlineLevel="0" collapsed="false">
      <c r="A20" s="25" t="s">
        <v>130</v>
      </c>
      <c r="B20" s="25"/>
      <c r="C20" s="25" t="s">
        <v>78</v>
      </c>
      <c r="D20" s="25"/>
    </row>
    <row r="21" customFormat="false" ht="13.5" hidden="false" customHeight="true" outlineLevel="0" collapsed="false">
      <c r="A21" s="13" t="s">
        <v>131</v>
      </c>
      <c r="B21" s="13"/>
      <c r="C21" s="47"/>
      <c r="D21" s="47"/>
    </row>
    <row r="22" customFormat="false" ht="13.5" hidden="false" customHeight="true" outlineLevel="0" collapsed="false">
      <c r="A22" s="13" t="s">
        <v>132</v>
      </c>
      <c r="B22" s="13"/>
      <c r="C22" s="47"/>
      <c r="D22" s="47"/>
    </row>
    <row r="23" customFormat="false" ht="13.5" hidden="false" customHeight="true" outlineLevel="0" collapsed="false">
      <c r="A23" s="13" t="s">
        <v>133</v>
      </c>
      <c r="B23" s="13"/>
      <c r="C23" s="47"/>
      <c r="D23" s="47"/>
    </row>
    <row r="24" customFormat="false" ht="13.5" hidden="false" customHeight="true" outlineLevel="0" collapsed="false">
      <c r="A24" s="13" t="s">
        <v>134</v>
      </c>
      <c r="B24" s="13"/>
      <c r="C24" s="47"/>
      <c r="D24" s="47"/>
    </row>
    <row r="25" customFormat="false" ht="13.5" hidden="false" customHeight="true" outlineLevel="0" collapsed="false">
      <c r="A25" s="13" t="s">
        <v>135</v>
      </c>
      <c r="B25" s="13"/>
      <c r="C25" s="47"/>
      <c r="D25" s="47"/>
    </row>
    <row r="26" customFormat="false" ht="13.5" hidden="false" customHeight="true" outlineLevel="0" collapsed="false">
      <c r="A26" s="13" t="s">
        <v>136</v>
      </c>
      <c r="B26" s="13"/>
      <c r="C26" s="47"/>
      <c r="D26" s="47"/>
    </row>
    <row r="27" customFormat="false" ht="13.5" hidden="false" customHeight="true" outlineLevel="0" collapsed="false">
      <c r="A27" s="13" t="s">
        <v>137</v>
      </c>
      <c r="B27" s="13"/>
      <c r="C27" s="47"/>
      <c r="D27" s="47"/>
    </row>
    <row r="28" customFormat="false" ht="15" hidden="false" customHeight="true" outlineLevel="0" collapsed="false">
      <c r="A28" s="43" t="s">
        <v>138</v>
      </c>
      <c r="B28" s="43"/>
      <c r="C28" s="45" t="str">
        <f aca="false">IFERROR((SUMPRODUCT((C21:C27="Sobre")*5+(C21:C27="Cumple")*3+(C21:C27="Por Debajo")*1))/(SUMPRODUCT((C21:C27="Sobre")+(C21:C27="Cumple")+(C21:C27="Por Debajo"))),"")</f>
        <v/>
      </c>
      <c r="D28" s="45"/>
    </row>
    <row r="29" customFormat="false" ht="16.5" hidden="false" customHeight="true" outlineLevel="0" collapsed="false">
      <c r="A29" s="24" t="s">
        <v>139</v>
      </c>
      <c r="B29" s="24"/>
      <c r="C29" s="24"/>
      <c r="D29" s="24"/>
    </row>
    <row r="30" customFormat="false" ht="15" hidden="false" customHeight="true" outlineLevel="0" collapsed="false">
      <c r="A30" s="48" t="s">
        <v>140</v>
      </c>
      <c r="B30" s="48"/>
      <c r="C30" s="14" t="str">
        <f aca="false">D16</f>
        <v/>
      </c>
      <c r="D30" s="14"/>
    </row>
    <row r="31" customFormat="false" ht="15" hidden="false" customHeight="true" outlineLevel="0" collapsed="false">
      <c r="A31" s="48" t="s">
        <v>141</v>
      </c>
      <c r="B31" s="48"/>
      <c r="C31" s="14" t="str">
        <f aca="false">IF(C28="","",IF(C28&gt;=Parametros!$B$11,"Sobre",IF(C28&gt;=Parametros!$B$12,"Cumple","Por Debajo")))</f>
        <v/>
      </c>
      <c r="D31" s="14"/>
    </row>
    <row r="32" customFormat="false" ht="15" hidden="false" customHeight="true" outlineLevel="0" collapsed="false">
      <c r="A32" s="48" t="s">
        <v>142</v>
      </c>
      <c r="B32" s="48"/>
      <c r="C32" s="49" t="str">
        <f aca="false">IF(OR(C16="",C28=""),"",Parametros!$B$19*C16+Parametros!$B$20*C28)</f>
        <v/>
      </c>
      <c r="D32" s="49"/>
    </row>
    <row r="33" customFormat="false" ht="25.5" hidden="false" customHeight="true" outlineLevel="0" collapsed="false">
      <c r="A33" s="50" t="s">
        <v>143</v>
      </c>
      <c r="B33" s="50"/>
      <c r="C33" s="51" t="str">
        <f aca="false">IF(C32="","",IF(AND((IF(C32&gt;=Parametros!$B$11,"Sobre",IF(C32&gt;=Parametros!$B$12,"Cumple","Por Debajo")))="Sobre",C31="Por Debajo"),"Cumple",IF(C32&gt;=Parametros!$B$11,"Sobre",IF(C32&gt;=Parametros!$B$12,"Cumple","Por Debajo"))))</f>
        <v/>
      </c>
      <c r="D33" s="51"/>
    </row>
    <row r="34" customFormat="false" ht="15" hidden="false" customHeight="true" outlineLevel="0" collapsed="false">
      <c r="A34" s="5" t="s">
        <v>144</v>
      </c>
      <c r="B34" s="5"/>
      <c r="C34" s="5"/>
      <c r="D34" s="5"/>
    </row>
    <row r="35" customFormat="false" ht="16.5" hidden="false" customHeight="true" outlineLevel="0" collapsed="false">
      <c r="A35" s="24" t="s">
        <v>145</v>
      </c>
      <c r="B35" s="24"/>
      <c r="C35" s="24"/>
      <c r="D35" s="24"/>
    </row>
    <row r="36" customFormat="false" ht="15" hidden="false" customHeight="true" outlineLevel="0" collapsed="false">
      <c r="A36" s="7"/>
      <c r="B36" s="7"/>
      <c r="C36" s="7"/>
      <c r="D36" s="7"/>
    </row>
    <row r="37" customFormat="false" ht="15" hidden="false" customHeight="true" outlineLevel="0" collapsed="false">
      <c r="A37" s="7"/>
      <c r="B37" s="7"/>
      <c r="C37" s="7"/>
      <c r="D37" s="7"/>
    </row>
    <row r="38" customFormat="false" ht="16.5" hidden="false" customHeight="true" outlineLevel="0" collapsed="false">
      <c r="A38" s="24" t="s">
        <v>146</v>
      </c>
      <c r="B38" s="24"/>
      <c r="C38" s="24"/>
      <c r="D38" s="24"/>
    </row>
    <row r="39" customFormat="false" ht="15" hidden="false" customHeight="true" outlineLevel="0" collapsed="false">
      <c r="A39" s="32" t="s">
        <v>147</v>
      </c>
      <c r="B39" s="47"/>
      <c r="C39" s="52" t="s">
        <v>148</v>
      </c>
      <c r="D39" s="7"/>
    </row>
    <row r="40" customFormat="false" ht="15" hidden="false" customHeight="true" outlineLevel="0" collapsed="false">
      <c r="A40" s="7"/>
      <c r="B40" s="7"/>
      <c r="C40" s="7"/>
      <c r="D40" s="7"/>
    </row>
    <row r="41" customFormat="false" ht="16.5" hidden="false" customHeight="true" outlineLevel="0" collapsed="false">
      <c r="A41" s="24" t="s">
        <v>149</v>
      </c>
      <c r="B41" s="24"/>
      <c r="C41" s="24"/>
      <c r="D41" s="24"/>
    </row>
    <row r="43" customFormat="false" ht="15" hidden="false" customHeight="true" outlineLevel="0" collapsed="false">
      <c r="A43" s="1" t="s">
        <v>150</v>
      </c>
      <c r="C43" s="1" t="s">
        <v>150</v>
      </c>
    </row>
    <row r="44" customFormat="false" ht="15" hidden="false" customHeight="true" outlineLevel="0" collapsed="false">
      <c r="A44" s="53" t="s">
        <v>151</v>
      </c>
      <c r="C44" s="53" t="s">
        <v>152</v>
      </c>
    </row>
    <row r="46" customFormat="false" ht="15" hidden="false" customHeight="true" outlineLevel="0" collapsed="false">
      <c r="A46" s="1" t="s">
        <v>150</v>
      </c>
    </row>
    <row r="47" customFormat="false" ht="15" hidden="false" customHeight="true" outlineLevel="0" collapsed="false">
      <c r="A47" s="53" t="s">
        <v>153</v>
      </c>
    </row>
  </sheetData>
  <mergeCells count="41">
    <mergeCell ref="A1:D1"/>
    <mergeCell ref="A2:D2"/>
    <mergeCell ref="A3:D3"/>
    <mergeCell ref="A9:D9"/>
    <mergeCell ref="A10:D10"/>
    <mergeCell ref="A18:D18"/>
    <mergeCell ref="A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D34"/>
    <mergeCell ref="A35:D35"/>
    <mergeCell ref="A36:D36"/>
    <mergeCell ref="A37:D37"/>
    <mergeCell ref="A38:D38"/>
    <mergeCell ref="A40:D40"/>
    <mergeCell ref="A41:D41"/>
  </mergeCells>
  <dataValidations count="3">
    <dataValidation allowBlank="true" errorStyle="stop" operator="between" showDropDown="false" showErrorMessage="false" showInputMessage="false" sqref="C21:C27" type="list">
      <formula1>"Sobre,Cumple,Por Debajo"</formula1>
      <formula2>0</formula2>
    </dataValidation>
    <dataValidation allowBlank="true" errorStyle="stop" operator="between" showDropDown="false" showErrorMessage="false" showInputMessage="false" sqref="B39" type="list">
      <formula1>"Si,No"</formula1>
      <formula2>0</formula2>
    </dataValidation>
    <dataValidation allowBlank="true" error="Ingrese un promedio entre 1.0 y 5.0" errorStyle="stop" operator="between" showDropDown="false" showErrorMessage="false" showInputMessage="false" sqref="C12:C15" type="decimal">
      <formula1>1</formula1>
      <formula2>5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3"/>
  </cols>
  <sheetData>
    <row r="1" customFormat="false" ht="19.5" hidden="false" customHeight="true" outlineLevel="0" collapsed="false">
      <c r="A1" s="54" t="s">
        <v>154</v>
      </c>
      <c r="B1" s="54"/>
      <c r="C1" s="54"/>
    </row>
    <row r="2" customFormat="false" ht="15" hidden="false" customHeight="true" outlineLevel="0" collapsed="false">
      <c r="A2" s="55"/>
      <c r="B2" s="56"/>
    </row>
    <row r="3" customFormat="false" ht="15" hidden="false" customHeight="true" outlineLevel="0" collapsed="false">
      <c r="A3" s="57" t="s">
        <v>155</v>
      </c>
      <c r="B3" s="57"/>
      <c r="C3" s="57"/>
    </row>
    <row r="4" customFormat="false" ht="15" hidden="false" customHeight="true" outlineLevel="0" collapsed="false">
      <c r="A4" s="55" t="s">
        <v>156</v>
      </c>
      <c r="B4" s="58" t="n">
        <v>0.4</v>
      </c>
    </row>
    <row r="5" customFormat="false" ht="15" hidden="false" customHeight="true" outlineLevel="0" collapsed="false">
      <c r="A5" s="55" t="s">
        <v>157</v>
      </c>
      <c r="B5" s="58" t="n">
        <v>0.3</v>
      </c>
    </row>
    <row r="6" customFormat="false" ht="15" hidden="false" customHeight="true" outlineLevel="0" collapsed="false">
      <c r="A6" s="55" t="s">
        <v>158</v>
      </c>
      <c r="B6" s="58" t="n">
        <v>0.15</v>
      </c>
    </row>
    <row r="7" customFormat="false" ht="15" hidden="false" customHeight="true" outlineLevel="0" collapsed="false">
      <c r="A7" s="55" t="s">
        <v>159</v>
      </c>
      <c r="B7" s="58" t="n">
        <v>0.15</v>
      </c>
    </row>
    <row r="8" customFormat="false" ht="15" hidden="false" customHeight="true" outlineLevel="0" collapsed="false">
      <c r="A8" s="55" t="s">
        <v>160</v>
      </c>
      <c r="B8" s="59" t="n">
        <f aca="false">SUM(B4:B7)</f>
        <v>1</v>
      </c>
    </row>
    <row r="9" customFormat="false" ht="15" hidden="false" customHeight="true" outlineLevel="0" collapsed="false">
      <c r="A9" s="55"/>
      <c r="B9" s="56"/>
    </row>
    <row r="10" customFormat="false" ht="15" hidden="false" customHeight="true" outlineLevel="0" collapsed="false">
      <c r="A10" s="57" t="s">
        <v>161</v>
      </c>
      <c r="B10" s="57"/>
      <c r="C10" s="57"/>
    </row>
    <row r="11" customFormat="false" ht="15" hidden="false" customHeight="true" outlineLevel="0" collapsed="false">
      <c r="A11" s="55" t="s">
        <v>162</v>
      </c>
      <c r="B11" s="60" t="n">
        <v>4.5</v>
      </c>
    </row>
    <row r="12" customFormat="false" ht="15" hidden="false" customHeight="true" outlineLevel="0" collapsed="false">
      <c r="A12" s="55" t="s">
        <v>163</v>
      </c>
      <c r="B12" s="60" t="n">
        <v>3</v>
      </c>
    </row>
    <row r="13" customFormat="false" ht="15" hidden="false" customHeight="true" outlineLevel="0" collapsed="false">
      <c r="A13" s="55"/>
      <c r="B13" s="56"/>
    </row>
    <row r="14" customFormat="false" ht="15" hidden="false" customHeight="true" outlineLevel="0" collapsed="false">
      <c r="A14" s="57" t="s">
        <v>164</v>
      </c>
      <c r="B14" s="57"/>
      <c r="C14" s="57"/>
    </row>
    <row r="15" customFormat="false" ht="15" hidden="false" customHeight="true" outlineLevel="0" collapsed="false">
      <c r="A15" s="55" t="s">
        <v>165</v>
      </c>
      <c r="B15" s="60"/>
    </row>
    <row r="16" customFormat="false" ht="15" hidden="false" customHeight="true" outlineLevel="0" collapsed="false">
      <c r="A16" s="55"/>
      <c r="B16" s="60"/>
    </row>
    <row r="17" customFormat="false" ht="15" hidden="false" customHeight="true" outlineLevel="0" collapsed="false">
      <c r="A17" s="55"/>
      <c r="B17" s="56"/>
    </row>
    <row r="18" customFormat="false" ht="15" hidden="false" customHeight="true" outlineLevel="0" collapsed="false">
      <c r="A18" s="57" t="s">
        <v>166</v>
      </c>
      <c r="B18" s="57"/>
      <c r="C18" s="57"/>
    </row>
    <row r="19" customFormat="false" ht="15" hidden="false" customHeight="true" outlineLevel="0" collapsed="false">
      <c r="A19" s="55" t="s">
        <v>167</v>
      </c>
      <c r="B19" s="58" t="n">
        <v>0.7</v>
      </c>
    </row>
    <row r="20" customFormat="false" ht="15" hidden="false" customHeight="true" outlineLevel="0" collapsed="false">
      <c r="A20" s="55" t="s">
        <v>168</v>
      </c>
      <c r="B20" s="58" t="n">
        <v>0.3</v>
      </c>
    </row>
    <row r="21" customFormat="false" ht="15" hidden="false" customHeight="true" outlineLevel="0" collapsed="false">
      <c r="A21" s="55"/>
      <c r="B21" s="56"/>
    </row>
    <row r="22" customFormat="false" ht="15" hidden="false" customHeight="true" outlineLevel="0" collapsed="false">
      <c r="A22" s="57" t="s">
        <v>169</v>
      </c>
      <c r="B22" s="57"/>
      <c r="C22" s="57"/>
    </row>
    <row r="23" customFormat="false" ht="15" hidden="false" customHeight="true" outlineLevel="0" collapsed="false">
      <c r="A23" s="55" t="s">
        <v>170</v>
      </c>
      <c r="B23" s="60" t="n">
        <v>3</v>
      </c>
    </row>
    <row r="24" customFormat="false" ht="15" hidden="false" customHeight="true" outlineLevel="0" collapsed="false">
      <c r="A24" s="55" t="s">
        <v>171</v>
      </c>
      <c r="B24" s="60" t="n">
        <v>2.5</v>
      </c>
    </row>
    <row r="26" customFormat="false" ht="15" hidden="false" customHeight="true" outlineLevel="0" collapsed="false">
      <c r="A26" s="57" t="s">
        <v>172</v>
      </c>
      <c r="B26" s="57"/>
      <c r="C26" s="57"/>
    </row>
    <row r="27" customFormat="false" ht="15" hidden="false" customHeight="true" outlineLevel="0" collapsed="false">
      <c r="A27" s="55" t="s">
        <v>173</v>
      </c>
      <c r="B27" s="61" t="n">
        <v>8</v>
      </c>
    </row>
    <row r="28" customFormat="false" ht="15" hidden="false" customHeight="true" outlineLevel="0" collapsed="false">
      <c r="A28" s="55" t="s">
        <v>174</v>
      </c>
      <c r="B28" s="58" t="n">
        <v>0.2</v>
      </c>
    </row>
    <row r="29" customFormat="false" ht="15" hidden="false" customHeight="true" outlineLevel="0" collapsed="false">
      <c r="A29" s="55" t="s">
        <v>175</v>
      </c>
      <c r="B29" s="58" t="n">
        <v>0.25</v>
      </c>
    </row>
    <row r="30" customFormat="false" ht="15" hidden="false" customHeight="true" outlineLevel="0" collapsed="false">
      <c r="A30" s="55" t="s">
        <v>176</v>
      </c>
      <c r="B30" s="61" t="n">
        <v>2</v>
      </c>
    </row>
    <row r="31" customFormat="false" ht="15" hidden="false" customHeight="true" outlineLevel="0" collapsed="false">
      <c r="A31" s="55" t="s">
        <v>177</v>
      </c>
      <c r="B31" s="61" t="n">
        <v>3</v>
      </c>
    </row>
  </sheetData>
  <mergeCells count="7">
    <mergeCell ref="A1:C1"/>
    <mergeCell ref="A3:C3"/>
    <mergeCell ref="A10:C10"/>
    <mergeCell ref="A14:C14"/>
    <mergeCell ref="A18:C18"/>
    <mergeCell ref="A22:C22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10" min="7" style="1" width="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5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3" t="s">
        <v>178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3.5" hidden="false" customHeight="true" outlineLevel="0" collapsed="false">
      <c r="A4" s="5" t="s">
        <v>179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6" customFormat="false" ht="25.5" hidden="false" customHeight="true" outlineLevel="0" collapsed="false">
      <c r="A6" s="9" t="s">
        <v>3</v>
      </c>
      <c r="B6" s="9" t="s">
        <v>4</v>
      </c>
      <c r="C6" s="9" t="s">
        <v>180</v>
      </c>
      <c r="D6" s="9" t="s">
        <v>7</v>
      </c>
      <c r="E6" s="9" t="s">
        <v>181</v>
      </c>
      <c r="F6" s="9" t="s">
        <v>182</v>
      </c>
      <c r="G6" s="9" t="s">
        <v>183</v>
      </c>
      <c r="H6" s="9" t="s">
        <v>184</v>
      </c>
      <c r="I6" s="9" t="s">
        <v>185</v>
      </c>
      <c r="J6" s="9" t="s">
        <v>186</v>
      </c>
      <c r="K6" s="9" t="s">
        <v>6</v>
      </c>
      <c r="L6" s="9" t="s">
        <v>187</v>
      </c>
      <c r="M6" s="62" t="s">
        <v>188</v>
      </c>
    </row>
    <row r="7" customFormat="false" ht="21.75" hidden="false" customHeight="true" outlineLevel="0" collapsed="false">
      <c r="A7" s="63" t="s">
        <v>189</v>
      </c>
      <c r="B7" s="63" t="s">
        <v>190</v>
      </c>
      <c r="C7" s="63" t="s">
        <v>191</v>
      </c>
      <c r="D7" s="63" t="s">
        <v>192</v>
      </c>
      <c r="E7" s="64" t="s">
        <v>193</v>
      </c>
      <c r="F7" s="64" t="s">
        <v>194</v>
      </c>
      <c r="G7" s="65" t="n">
        <v>5</v>
      </c>
      <c r="H7" s="65" t="n">
        <v>4</v>
      </c>
      <c r="I7" s="65" t="n">
        <v>4</v>
      </c>
      <c r="J7" s="65" t="n">
        <v>3.67</v>
      </c>
      <c r="K7" s="63" t="s">
        <v>110</v>
      </c>
      <c r="L7" s="63" t="s">
        <v>195</v>
      </c>
      <c r="M7" s="66" t="n">
        <f aca="false">IF(OR($D7="",$F7=""),"",IF(COUNTIFS($D$7:$D7,$D7,$F$7:$F7,$F7)=1,1,0))</f>
        <v>1</v>
      </c>
    </row>
    <row r="8" customFormat="false" ht="15" hidden="false" customHeight="true" outlineLevel="0" collapsed="false">
      <c r="A8" s="56"/>
      <c r="B8" s="56"/>
      <c r="C8" s="56"/>
      <c r="D8" s="56"/>
      <c r="E8" s="16"/>
      <c r="F8" s="16"/>
      <c r="G8" s="67"/>
      <c r="H8" s="67"/>
      <c r="I8" s="67"/>
      <c r="J8" s="67"/>
      <c r="K8" s="56"/>
      <c r="L8" s="56"/>
      <c r="M8" s="66" t="str">
        <f aca="false">IF(OR($D8="",$F8=""),"",IF(COUNTIFS($D$7:$D8,$D8,$F$7:$F8,$F8)=1,1,0))</f>
        <v/>
      </c>
    </row>
    <row r="9" customFormat="false" ht="15" hidden="false" customHeight="true" outlineLevel="0" collapsed="false">
      <c r="A9" s="38"/>
      <c r="B9" s="38"/>
      <c r="C9" s="38"/>
      <c r="D9" s="38"/>
      <c r="E9" s="13"/>
      <c r="F9" s="13"/>
      <c r="G9" s="67"/>
      <c r="H9" s="67"/>
      <c r="I9" s="67"/>
      <c r="J9" s="67"/>
      <c r="K9" s="38"/>
      <c r="L9" s="38"/>
      <c r="M9" s="66" t="str">
        <f aca="false">IF(OR($D9="",$F9=""),"",IF(COUNTIFS($D$7:$D9,$D9,$F$7:$F9,$F9)=1,1,0))</f>
        <v/>
      </c>
    </row>
    <row r="10" customFormat="false" ht="15" hidden="false" customHeight="true" outlineLevel="0" collapsed="false">
      <c r="A10" s="56"/>
      <c r="B10" s="56"/>
      <c r="C10" s="56"/>
      <c r="D10" s="56"/>
      <c r="E10" s="16"/>
      <c r="F10" s="16"/>
      <c r="G10" s="67"/>
      <c r="H10" s="67"/>
      <c r="I10" s="67"/>
      <c r="J10" s="67"/>
      <c r="K10" s="56"/>
      <c r="L10" s="56"/>
      <c r="M10" s="66" t="str">
        <f aca="false">IF(OR($D10="",$F10=""),"",IF(COUNTIFS($D$7:$D10,$D10,$F$7:$F10,$F10)=1,1,0))</f>
        <v/>
      </c>
    </row>
    <row r="11" customFormat="false" ht="15" hidden="false" customHeight="true" outlineLevel="0" collapsed="false">
      <c r="A11" s="38"/>
      <c r="B11" s="38"/>
      <c r="C11" s="38"/>
      <c r="D11" s="38"/>
      <c r="E11" s="13"/>
      <c r="F11" s="13"/>
      <c r="G11" s="67"/>
      <c r="H11" s="67"/>
      <c r="I11" s="67"/>
      <c r="J11" s="67"/>
      <c r="K11" s="38"/>
      <c r="L11" s="38"/>
      <c r="M11" s="66" t="str">
        <f aca="false">IF(OR($D11="",$F11=""),"",IF(COUNTIFS($D$7:$D11,$D11,$F$7:$F11,$F11)=1,1,0))</f>
        <v/>
      </c>
    </row>
    <row r="12" customFormat="false" ht="15" hidden="false" customHeight="true" outlineLevel="0" collapsed="false">
      <c r="A12" s="56"/>
      <c r="B12" s="56"/>
      <c r="C12" s="56"/>
      <c r="D12" s="56"/>
      <c r="E12" s="16"/>
      <c r="F12" s="16"/>
      <c r="G12" s="67"/>
      <c r="H12" s="67"/>
      <c r="I12" s="67"/>
      <c r="J12" s="67"/>
      <c r="K12" s="56"/>
      <c r="L12" s="56"/>
      <c r="M12" s="66" t="str">
        <f aca="false">IF(OR($D12="",$F12=""),"",IF(COUNTIFS($D$7:$D12,$D12,$F$7:$F12,$F12)=1,1,0))</f>
        <v/>
      </c>
    </row>
    <row r="13" customFormat="false" ht="15" hidden="false" customHeight="true" outlineLevel="0" collapsed="false">
      <c r="A13" s="38"/>
      <c r="B13" s="38"/>
      <c r="C13" s="38"/>
      <c r="D13" s="38"/>
      <c r="E13" s="13"/>
      <c r="F13" s="13"/>
      <c r="G13" s="67"/>
      <c r="H13" s="67"/>
      <c r="I13" s="67"/>
      <c r="J13" s="67"/>
      <c r="K13" s="38"/>
      <c r="L13" s="38"/>
      <c r="M13" s="66" t="str">
        <f aca="false">IF(OR($D13="",$F13=""),"",IF(COUNTIFS($D$7:$D13,$D13,$F$7:$F13,$F13)=1,1,0))</f>
        <v/>
      </c>
    </row>
    <row r="14" customFormat="false" ht="15" hidden="false" customHeight="true" outlineLevel="0" collapsed="false">
      <c r="A14" s="56"/>
      <c r="B14" s="56"/>
      <c r="C14" s="56"/>
      <c r="D14" s="56"/>
      <c r="E14" s="16"/>
      <c r="F14" s="16"/>
      <c r="G14" s="67"/>
      <c r="H14" s="67"/>
      <c r="I14" s="67"/>
      <c r="J14" s="67"/>
      <c r="K14" s="56"/>
      <c r="L14" s="56"/>
      <c r="M14" s="66" t="str">
        <f aca="false">IF(OR($D14="",$F14=""),"",IF(COUNTIFS($D$7:$D14,$D14,$F$7:$F14,$F14)=1,1,0))</f>
        <v/>
      </c>
    </row>
    <row r="15" customFormat="false" ht="15" hidden="false" customHeight="true" outlineLevel="0" collapsed="false">
      <c r="A15" s="38"/>
      <c r="B15" s="38"/>
      <c r="C15" s="38"/>
      <c r="D15" s="38"/>
      <c r="E15" s="13"/>
      <c r="F15" s="13"/>
      <c r="G15" s="67"/>
      <c r="H15" s="67"/>
      <c r="I15" s="67"/>
      <c r="J15" s="67"/>
      <c r="K15" s="38"/>
      <c r="L15" s="38"/>
      <c r="M15" s="66" t="str">
        <f aca="false">IF(OR($D15="",$F15=""),"",IF(COUNTIFS($D$7:$D15,$D15,$F$7:$F15,$F15)=1,1,0))</f>
        <v/>
      </c>
    </row>
    <row r="16" customFormat="false" ht="15" hidden="false" customHeight="true" outlineLevel="0" collapsed="false">
      <c r="A16" s="56"/>
      <c r="B16" s="56"/>
      <c r="C16" s="56"/>
      <c r="D16" s="56"/>
      <c r="E16" s="16"/>
      <c r="F16" s="16"/>
      <c r="G16" s="67"/>
      <c r="H16" s="67"/>
      <c r="I16" s="67"/>
      <c r="J16" s="67"/>
      <c r="K16" s="56"/>
      <c r="L16" s="56"/>
      <c r="M16" s="66" t="str">
        <f aca="false">IF(OR($D16="",$F16=""),"",IF(COUNTIFS($D$7:$D16,$D16,$F$7:$F16,$F16)=1,1,0))</f>
        <v/>
      </c>
    </row>
    <row r="17" customFormat="false" ht="15" hidden="false" customHeight="true" outlineLevel="0" collapsed="false">
      <c r="A17" s="38"/>
      <c r="B17" s="38"/>
      <c r="C17" s="38"/>
      <c r="D17" s="38"/>
      <c r="E17" s="13"/>
      <c r="F17" s="13"/>
      <c r="G17" s="67"/>
      <c r="H17" s="67"/>
      <c r="I17" s="67"/>
      <c r="J17" s="67"/>
      <c r="K17" s="38"/>
      <c r="L17" s="38"/>
      <c r="M17" s="66" t="str">
        <f aca="false">IF(OR($D17="",$F17=""),"",IF(COUNTIFS($D$7:$D17,$D17,$F$7:$F17,$F17)=1,1,0))</f>
        <v/>
      </c>
    </row>
    <row r="18" customFormat="false" ht="15" hidden="false" customHeight="true" outlineLevel="0" collapsed="false">
      <c r="A18" s="56"/>
      <c r="B18" s="56"/>
      <c r="C18" s="56"/>
      <c r="D18" s="56"/>
      <c r="E18" s="16"/>
      <c r="F18" s="16"/>
      <c r="G18" s="67"/>
      <c r="H18" s="67"/>
      <c r="I18" s="67"/>
      <c r="J18" s="67"/>
      <c r="K18" s="56"/>
      <c r="L18" s="56"/>
      <c r="M18" s="66" t="str">
        <f aca="false">IF(OR($D18="",$F18=""),"",IF(COUNTIFS($D$7:$D18,$D18,$F$7:$F18,$F18)=1,1,0))</f>
        <v/>
      </c>
    </row>
    <row r="19" customFormat="false" ht="15" hidden="false" customHeight="true" outlineLevel="0" collapsed="false">
      <c r="A19" s="38"/>
      <c r="B19" s="38"/>
      <c r="C19" s="38"/>
      <c r="D19" s="38"/>
      <c r="E19" s="13"/>
      <c r="F19" s="13"/>
      <c r="G19" s="67"/>
      <c r="H19" s="67"/>
      <c r="I19" s="67"/>
      <c r="J19" s="67"/>
      <c r="K19" s="38"/>
      <c r="L19" s="38"/>
      <c r="M19" s="66" t="str">
        <f aca="false">IF(OR($D19="",$F19=""),"",IF(COUNTIFS($D$7:$D19,$D19,$F$7:$F19,$F19)=1,1,0))</f>
        <v/>
      </c>
    </row>
    <row r="20" customFormat="false" ht="15" hidden="false" customHeight="true" outlineLevel="0" collapsed="false">
      <c r="A20" s="56"/>
      <c r="B20" s="56"/>
      <c r="C20" s="56"/>
      <c r="D20" s="56"/>
      <c r="E20" s="16"/>
      <c r="F20" s="16"/>
      <c r="G20" s="67"/>
      <c r="H20" s="67"/>
      <c r="I20" s="67"/>
      <c r="J20" s="67"/>
      <c r="K20" s="56"/>
      <c r="L20" s="56"/>
      <c r="M20" s="66" t="str">
        <f aca="false">IF(OR($D20="",$F20=""),"",IF(COUNTIFS($D$7:$D20,$D20,$F$7:$F20,$F20)=1,1,0))</f>
        <v/>
      </c>
    </row>
    <row r="21" customFormat="false" ht="15" hidden="false" customHeight="true" outlineLevel="0" collapsed="false">
      <c r="A21" s="38"/>
      <c r="B21" s="38"/>
      <c r="C21" s="38"/>
      <c r="D21" s="38"/>
      <c r="E21" s="13"/>
      <c r="F21" s="13"/>
      <c r="G21" s="67"/>
      <c r="H21" s="67"/>
      <c r="I21" s="67"/>
      <c r="J21" s="67"/>
      <c r="K21" s="38"/>
      <c r="L21" s="38"/>
      <c r="M21" s="66" t="str">
        <f aca="false">IF(OR($D21="",$F21=""),"",IF(COUNTIFS($D$7:$D21,$D21,$F$7:$F21,$F21)=1,1,0))</f>
        <v/>
      </c>
    </row>
    <row r="22" customFormat="false" ht="15" hidden="false" customHeight="true" outlineLevel="0" collapsed="false">
      <c r="A22" s="56"/>
      <c r="B22" s="56"/>
      <c r="C22" s="56"/>
      <c r="D22" s="56"/>
      <c r="E22" s="16"/>
      <c r="F22" s="16"/>
      <c r="G22" s="67"/>
      <c r="H22" s="67"/>
      <c r="I22" s="67"/>
      <c r="J22" s="67"/>
      <c r="K22" s="56"/>
      <c r="L22" s="56"/>
      <c r="M22" s="66" t="str">
        <f aca="false">IF(OR($D22="",$F22=""),"",IF(COUNTIFS($D$7:$D22,$D22,$F$7:$F22,$F22)=1,1,0))</f>
        <v/>
      </c>
    </row>
    <row r="23" customFormat="false" ht="15" hidden="false" customHeight="true" outlineLevel="0" collapsed="false">
      <c r="A23" s="38"/>
      <c r="B23" s="38"/>
      <c r="C23" s="38"/>
      <c r="D23" s="38"/>
      <c r="E23" s="13"/>
      <c r="F23" s="13"/>
      <c r="G23" s="67"/>
      <c r="H23" s="67"/>
      <c r="I23" s="67"/>
      <c r="J23" s="67"/>
      <c r="K23" s="38"/>
      <c r="L23" s="38"/>
      <c r="M23" s="66" t="str">
        <f aca="false">IF(OR($D23="",$F23=""),"",IF(COUNTIFS($D$7:$D23,$D23,$F$7:$F23,$F23)=1,1,0))</f>
        <v/>
      </c>
    </row>
    <row r="24" customFormat="false" ht="15" hidden="false" customHeight="true" outlineLevel="0" collapsed="false">
      <c r="A24" s="56"/>
      <c r="B24" s="56"/>
      <c r="C24" s="56"/>
      <c r="D24" s="56"/>
      <c r="E24" s="16"/>
      <c r="F24" s="16"/>
      <c r="G24" s="67"/>
      <c r="H24" s="67"/>
      <c r="I24" s="67"/>
      <c r="J24" s="67"/>
      <c r="K24" s="56"/>
      <c r="L24" s="56"/>
      <c r="M24" s="66" t="str">
        <f aca="false">IF(OR($D24="",$F24=""),"",IF(COUNTIFS($D$7:$D24,$D24,$F$7:$F24,$F24)=1,1,0))</f>
        <v/>
      </c>
    </row>
    <row r="25" customFormat="false" ht="15" hidden="false" customHeight="true" outlineLevel="0" collapsed="false">
      <c r="A25" s="38"/>
      <c r="B25" s="38"/>
      <c r="C25" s="38"/>
      <c r="D25" s="38"/>
      <c r="E25" s="13"/>
      <c r="F25" s="13"/>
      <c r="G25" s="67"/>
      <c r="H25" s="67"/>
      <c r="I25" s="67"/>
      <c r="J25" s="67"/>
      <c r="K25" s="38"/>
      <c r="L25" s="38"/>
      <c r="M25" s="66" t="str">
        <f aca="false">IF(OR($D25="",$F25=""),"",IF(COUNTIFS($D$7:$D25,$D25,$F$7:$F25,$F25)=1,1,0))</f>
        <v/>
      </c>
    </row>
    <row r="26" customFormat="false" ht="15" hidden="false" customHeight="true" outlineLevel="0" collapsed="false">
      <c r="A26" s="56"/>
      <c r="B26" s="56"/>
      <c r="C26" s="56"/>
      <c r="D26" s="56"/>
      <c r="E26" s="16"/>
      <c r="F26" s="16"/>
      <c r="G26" s="67"/>
      <c r="H26" s="67"/>
      <c r="I26" s="67"/>
      <c r="J26" s="67"/>
      <c r="K26" s="56"/>
      <c r="L26" s="56"/>
      <c r="M26" s="66" t="str">
        <f aca="false">IF(OR($D26="",$F26=""),"",IF(COUNTIFS($D$7:$D26,$D26,$F$7:$F26,$F26)=1,1,0))</f>
        <v/>
      </c>
    </row>
    <row r="27" customFormat="false" ht="15" hidden="false" customHeight="true" outlineLevel="0" collapsed="false">
      <c r="A27" s="38"/>
      <c r="B27" s="38"/>
      <c r="C27" s="38"/>
      <c r="D27" s="38"/>
      <c r="E27" s="13"/>
      <c r="F27" s="13"/>
      <c r="G27" s="67"/>
      <c r="H27" s="67"/>
      <c r="I27" s="67"/>
      <c r="J27" s="67"/>
      <c r="K27" s="38"/>
      <c r="L27" s="38"/>
      <c r="M27" s="66" t="str">
        <f aca="false">IF(OR($D27="",$F27=""),"",IF(COUNTIFS($D$7:$D27,$D27,$F$7:$F27,$F27)=1,1,0))</f>
        <v/>
      </c>
    </row>
    <row r="28" customFormat="false" ht="15" hidden="false" customHeight="true" outlineLevel="0" collapsed="false">
      <c r="A28" s="56"/>
      <c r="B28" s="56"/>
      <c r="C28" s="56"/>
      <c r="D28" s="56"/>
      <c r="E28" s="16"/>
      <c r="F28" s="16"/>
      <c r="G28" s="67"/>
      <c r="H28" s="67"/>
      <c r="I28" s="67"/>
      <c r="J28" s="67"/>
      <c r="K28" s="56"/>
      <c r="L28" s="56"/>
      <c r="M28" s="66" t="str">
        <f aca="false">IF(OR($D28="",$F28=""),"",IF(COUNTIFS($D$7:$D28,$D28,$F$7:$F28,$F28)=1,1,0))</f>
        <v/>
      </c>
    </row>
    <row r="29" customFormat="false" ht="15" hidden="false" customHeight="true" outlineLevel="0" collapsed="false">
      <c r="A29" s="38"/>
      <c r="B29" s="38"/>
      <c r="C29" s="38"/>
      <c r="D29" s="38"/>
      <c r="E29" s="13"/>
      <c r="F29" s="13"/>
      <c r="G29" s="67"/>
      <c r="H29" s="67"/>
      <c r="I29" s="67"/>
      <c r="J29" s="67"/>
      <c r="K29" s="38"/>
      <c r="L29" s="38"/>
      <c r="M29" s="66" t="str">
        <f aca="false">IF(OR($D29="",$F29=""),"",IF(COUNTIFS($D$7:$D29,$D29,$F$7:$F29,$F29)=1,1,0))</f>
        <v/>
      </c>
    </row>
    <row r="30" customFormat="false" ht="15" hidden="false" customHeight="true" outlineLevel="0" collapsed="false">
      <c r="A30" s="56"/>
      <c r="B30" s="56"/>
      <c r="C30" s="56"/>
      <c r="D30" s="56"/>
      <c r="E30" s="16"/>
      <c r="F30" s="16"/>
      <c r="G30" s="67"/>
      <c r="H30" s="67"/>
      <c r="I30" s="67"/>
      <c r="J30" s="67"/>
      <c r="K30" s="56"/>
      <c r="L30" s="56"/>
      <c r="M30" s="66" t="str">
        <f aca="false">IF(OR($D30="",$F30=""),"",IF(COUNTIFS($D$7:$D30,$D30,$F$7:$F30,$F30)=1,1,0))</f>
        <v/>
      </c>
    </row>
    <row r="31" customFormat="false" ht="15" hidden="false" customHeight="true" outlineLevel="0" collapsed="false">
      <c r="A31" s="38"/>
      <c r="B31" s="38"/>
      <c r="C31" s="38"/>
      <c r="D31" s="38"/>
      <c r="E31" s="13"/>
      <c r="F31" s="13"/>
      <c r="G31" s="67"/>
      <c r="H31" s="67"/>
      <c r="I31" s="67"/>
      <c r="J31" s="67"/>
      <c r="K31" s="38"/>
      <c r="L31" s="38"/>
      <c r="M31" s="66" t="str">
        <f aca="false">IF(OR($D31="",$F31=""),"",IF(COUNTIFS($D$7:$D31,$D31,$F$7:$F31,$F31)=1,1,0))</f>
        <v/>
      </c>
    </row>
    <row r="32" customFormat="false" ht="15" hidden="false" customHeight="true" outlineLevel="0" collapsed="false">
      <c r="A32" s="56"/>
      <c r="B32" s="56"/>
      <c r="C32" s="56"/>
      <c r="D32" s="56"/>
      <c r="E32" s="16"/>
      <c r="F32" s="16"/>
      <c r="G32" s="67"/>
      <c r="H32" s="67"/>
      <c r="I32" s="67"/>
      <c r="J32" s="67"/>
      <c r="K32" s="56"/>
      <c r="L32" s="56"/>
      <c r="M32" s="66" t="str">
        <f aca="false">IF(OR($D32="",$F32=""),"",IF(COUNTIFS($D$7:$D32,$D32,$F$7:$F32,$F32)=1,1,0))</f>
        <v/>
      </c>
    </row>
    <row r="33" customFormat="false" ht="15" hidden="false" customHeight="true" outlineLevel="0" collapsed="false">
      <c r="A33" s="38"/>
      <c r="B33" s="38"/>
      <c r="C33" s="38"/>
      <c r="D33" s="38"/>
      <c r="E33" s="13"/>
      <c r="F33" s="13"/>
      <c r="G33" s="67"/>
      <c r="H33" s="67"/>
      <c r="I33" s="67"/>
      <c r="J33" s="67"/>
      <c r="K33" s="38"/>
      <c r="L33" s="38"/>
      <c r="M33" s="66" t="str">
        <f aca="false">IF(OR($D33="",$F33=""),"",IF(COUNTIFS($D$7:$D33,$D33,$F$7:$F33,$F33)=1,1,0))</f>
        <v/>
      </c>
    </row>
    <row r="34" customFormat="false" ht="15" hidden="false" customHeight="true" outlineLevel="0" collapsed="false">
      <c r="A34" s="56"/>
      <c r="B34" s="56"/>
      <c r="C34" s="56"/>
      <c r="D34" s="56"/>
      <c r="E34" s="16"/>
      <c r="F34" s="16"/>
      <c r="G34" s="67"/>
      <c r="H34" s="67"/>
      <c r="I34" s="67"/>
      <c r="J34" s="67"/>
      <c r="K34" s="56"/>
      <c r="L34" s="56"/>
      <c r="M34" s="66" t="str">
        <f aca="false">IF(OR($D34="",$F34=""),"",IF(COUNTIFS($D$7:$D34,$D34,$F$7:$F34,$F34)=1,1,0))</f>
        <v/>
      </c>
    </row>
    <row r="35" customFormat="false" ht="15" hidden="false" customHeight="true" outlineLevel="0" collapsed="false">
      <c r="A35" s="38"/>
      <c r="B35" s="38"/>
      <c r="C35" s="38"/>
      <c r="D35" s="38"/>
      <c r="E35" s="13"/>
      <c r="F35" s="13"/>
      <c r="G35" s="67"/>
      <c r="H35" s="67"/>
      <c r="I35" s="67"/>
      <c r="J35" s="67"/>
      <c r="K35" s="38"/>
      <c r="L35" s="38"/>
      <c r="M35" s="66" t="str">
        <f aca="false">IF(OR($D35="",$F35=""),"",IF(COUNTIFS($D$7:$D35,$D35,$F$7:$F35,$F35)=1,1,0))</f>
        <v/>
      </c>
    </row>
    <row r="36" customFormat="false" ht="15" hidden="false" customHeight="true" outlineLevel="0" collapsed="false">
      <c r="A36" s="56"/>
      <c r="B36" s="56"/>
      <c r="C36" s="56"/>
      <c r="D36" s="56"/>
      <c r="E36" s="16"/>
      <c r="F36" s="16"/>
      <c r="G36" s="67"/>
      <c r="H36" s="67"/>
      <c r="I36" s="67"/>
      <c r="J36" s="67"/>
      <c r="K36" s="56"/>
      <c r="L36" s="56"/>
      <c r="M36" s="66" t="str">
        <f aca="false">IF(OR($D36="",$F36=""),"",IF(COUNTIFS($D$7:$D36,$D36,$F$7:$F36,$F36)=1,1,0))</f>
        <v/>
      </c>
    </row>
    <row r="37" customFormat="false" ht="15" hidden="false" customHeight="true" outlineLevel="0" collapsed="false">
      <c r="A37" s="38"/>
      <c r="B37" s="38"/>
      <c r="C37" s="38"/>
      <c r="D37" s="38"/>
      <c r="E37" s="13"/>
      <c r="F37" s="13"/>
      <c r="G37" s="67"/>
      <c r="H37" s="67"/>
      <c r="I37" s="67"/>
      <c r="J37" s="67"/>
      <c r="K37" s="38"/>
      <c r="L37" s="38"/>
      <c r="M37" s="66" t="str">
        <f aca="false">IF(OR($D37="",$F37=""),"",IF(COUNTIFS($D$7:$D37,$D37,$F$7:$F37,$F37)=1,1,0))</f>
        <v/>
      </c>
    </row>
    <row r="38" customFormat="false" ht="15" hidden="false" customHeight="true" outlineLevel="0" collapsed="false">
      <c r="A38" s="56"/>
      <c r="B38" s="56"/>
      <c r="C38" s="56"/>
      <c r="D38" s="56"/>
      <c r="E38" s="16"/>
      <c r="F38" s="16"/>
      <c r="G38" s="67"/>
      <c r="H38" s="67"/>
      <c r="I38" s="67"/>
      <c r="J38" s="67"/>
      <c r="K38" s="56"/>
      <c r="L38" s="56"/>
      <c r="M38" s="66" t="str">
        <f aca="false">IF(OR($D38="",$F38=""),"",IF(COUNTIFS($D$7:$D38,$D38,$F$7:$F38,$F38)=1,1,0))</f>
        <v/>
      </c>
    </row>
    <row r="39" customFormat="false" ht="15" hidden="false" customHeight="true" outlineLevel="0" collapsed="false">
      <c r="A39" s="38"/>
      <c r="B39" s="38"/>
      <c r="C39" s="38"/>
      <c r="D39" s="38"/>
      <c r="E39" s="13"/>
      <c r="F39" s="13"/>
      <c r="G39" s="67"/>
      <c r="H39" s="67"/>
      <c r="I39" s="67"/>
      <c r="J39" s="67"/>
      <c r="K39" s="38"/>
      <c r="L39" s="38"/>
      <c r="M39" s="66" t="str">
        <f aca="false">IF(OR($D39="",$F39=""),"",IF(COUNTIFS($D$7:$D39,$D39,$F$7:$F39,$F39)=1,1,0))</f>
        <v/>
      </c>
    </row>
    <row r="40" customFormat="false" ht="15" hidden="false" customHeight="true" outlineLevel="0" collapsed="false">
      <c r="A40" s="56"/>
      <c r="B40" s="56"/>
      <c r="C40" s="56"/>
      <c r="D40" s="56"/>
      <c r="E40" s="16"/>
      <c r="F40" s="16"/>
      <c r="G40" s="67"/>
      <c r="H40" s="67"/>
      <c r="I40" s="67"/>
      <c r="J40" s="67"/>
      <c r="K40" s="56"/>
      <c r="L40" s="56"/>
      <c r="M40" s="66" t="str">
        <f aca="false">IF(OR($D40="",$F40=""),"",IF(COUNTIFS($D$7:$D40,$D40,$F$7:$F40,$F40)=1,1,0))</f>
        <v/>
      </c>
    </row>
    <row r="41" customFormat="false" ht="15" hidden="false" customHeight="true" outlineLevel="0" collapsed="false">
      <c r="A41" s="38"/>
      <c r="B41" s="38"/>
      <c r="C41" s="38"/>
      <c r="D41" s="38"/>
      <c r="E41" s="13"/>
      <c r="F41" s="13"/>
      <c r="G41" s="67"/>
      <c r="H41" s="67"/>
      <c r="I41" s="67"/>
      <c r="J41" s="67"/>
      <c r="K41" s="38"/>
      <c r="L41" s="38"/>
      <c r="M41" s="66" t="str">
        <f aca="false">IF(OR($D41="",$F41=""),"",IF(COUNTIFS($D$7:$D41,$D41,$F$7:$F41,$F41)=1,1,0))</f>
        <v/>
      </c>
    </row>
    <row r="42" customFormat="false" ht="15" hidden="false" customHeight="true" outlineLevel="0" collapsed="false">
      <c r="A42" s="56"/>
      <c r="B42" s="56"/>
      <c r="C42" s="56"/>
      <c r="D42" s="56"/>
      <c r="E42" s="16"/>
      <c r="F42" s="16"/>
      <c r="G42" s="67"/>
      <c r="H42" s="67"/>
      <c r="I42" s="67"/>
      <c r="J42" s="67"/>
      <c r="K42" s="56"/>
      <c r="L42" s="56"/>
      <c r="M42" s="66" t="str">
        <f aca="false">IF(OR($D42="",$F42=""),"",IF(COUNTIFS($D$7:$D42,$D42,$F$7:$F42,$F42)=1,1,0))</f>
        <v/>
      </c>
    </row>
    <row r="43" customFormat="false" ht="15" hidden="false" customHeight="true" outlineLevel="0" collapsed="false">
      <c r="A43" s="38"/>
      <c r="B43" s="38"/>
      <c r="C43" s="38"/>
      <c r="D43" s="38"/>
      <c r="E43" s="13"/>
      <c r="F43" s="13"/>
      <c r="G43" s="67"/>
      <c r="H43" s="67"/>
      <c r="I43" s="67"/>
      <c r="J43" s="67"/>
      <c r="K43" s="38"/>
      <c r="L43" s="38"/>
      <c r="M43" s="66" t="str">
        <f aca="false">IF(OR($D43="",$F43=""),"",IF(COUNTIFS($D$7:$D43,$D43,$F$7:$F43,$F43)=1,1,0))</f>
        <v/>
      </c>
    </row>
    <row r="44" customFormat="false" ht="15" hidden="false" customHeight="true" outlineLevel="0" collapsed="false">
      <c r="A44" s="56"/>
      <c r="B44" s="56"/>
      <c r="C44" s="56"/>
      <c r="D44" s="56"/>
      <c r="E44" s="16"/>
      <c r="F44" s="16"/>
      <c r="G44" s="67"/>
      <c r="H44" s="67"/>
      <c r="I44" s="67"/>
      <c r="J44" s="67"/>
      <c r="K44" s="56"/>
      <c r="L44" s="56"/>
      <c r="M44" s="66" t="str">
        <f aca="false">IF(OR($D44="",$F44=""),"",IF(COUNTIFS($D$7:$D44,$D44,$F$7:$F44,$F44)=1,1,0))</f>
        <v/>
      </c>
    </row>
    <row r="45" customFormat="false" ht="15" hidden="false" customHeight="true" outlineLevel="0" collapsed="false">
      <c r="A45" s="38"/>
      <c r="B45" s="38"/>
      <c r="C45" s="38"/>
      <c r="D45" s="38"/>
      <c r="E45" s="13"/>
      <c r="F45" s="13"/>
      <c r="G45" s="67"/>
      <c r="H45" s="67"/>
      <c r="I45" s="67"/>
      <c r="J45" s="67"/>
      <c r="K45" s="38"/>
      <c r="L45" s="38"/>
      <c r="M45" s="66" t="str">
        <f aca="false">IF(OR($D45="",$F45=""),"",IF(COUNTIFS($D$7:$D45,$D45,$F$7:$F45,$F45)=1,1,0))</f>
        <v/>
      </c>
    </row>
    <row r="46" customFormat="false" ht="15" hidden="false" customHeight="true" outlineLevel="0" collapsed="false">
      <c r="A46" s="56"/>
      <c r="B46" s="56"/>
      <c r="C46" s="56"/>
      <c r="D46" s="56"/>
      <c r="E46" s="16"/>
      <c r="F46" s="16"/>
      <c r="G46" s="67"/>
      <c r="H46" s="67"/>
      <c r="I46" s="67"/>
      <c r="J46" s="67"/>
      <c r="K46" s="56"/>
      <c r="L46" s="56"/>
      <c r="M46" s="66" t="str">
        <f aca="false">IF(OR($D46="",$F46=""),"",IF(COUNTIFS($D$7:$D46,$D46,$F$7:$F46,$F46)=1,1,0))</f>
        <v/>
      </c>
    </row>
    <row r="47" customFormat="false" ht="15" hidden="false" customHeight="true" outlineLevel="0" collapsed="false">
      <c r="A47" s="38"/>
      <c r="B47" s="38"/>
      <c r="C47" s="38"/>
      <c r="D47" s="38"/>
      <c r="E47" s="13"/>
      <c r="F47" s="13"/>
      <c r="G47" s="67"/>
      <c r="H47" s="67"/>
      <c r="I47" s="67"/>
      <c r="J47" s="67"/>
      <c r="K47" s="38"/>
      <c r="L47" s="38"/>
      <c r="M47" s="66" t="str">
        <f aca="false">IF(OR($D47="",$F47=""),"",IF(COUNTIFS($D$7:$D47,$D47,$F$7:$F47,$F47)=1,1,0))</f>
        <v/>
      </c>
    </row>
    <row r="48" customFormat="false" ht="15" hidden="false" customHeight="true" outlineLevel="0" collapsed="false">
      <c r="A48" s="56"/>
      <c r="B48" s="56"/>
      <c r="C48" s="56"/>
      <c r="D48" s="56"/>
      <c r="E48" s="16"/>
      <c r="F48" s="16"/>
      <c r="G48" s="67"/>
      <c r="H48" s="67"/>
      <c r="I48" s="67"/>
      <c r="J48" s="67"/>
      <c r="K48" s="56"/>
      <c r="L48" s="56"/>
      <c r="M48" s="66" t="str">
        <f aca="false">IF(OR($D48="",$F48=""),"",IF(COUNTIFS($D$7:$D48,$D48,$F$7:$F48,$F48)=1,1,0))</f>
        <v/>
      </c>
    </row>
    <row r="49" customFormat="false" ht="15" hidden="false" customHeight="true" outlineLevel="0" collapsed="false">
      <c r="A49" s="38"/>
      <c r="B49" s="38"/>
      <c r="C49" s="38"/>
      <c r="D49" s="38"/>
      <c r="E49" s="13"/>
      <c r="F49" s="13"/>
      <c r="G49" s="67"/>
      <c r="H49" s="67"/>
      <c r="I49" s="67"/>
      <c r="J49" s="67"/>
      <c r="K49" s="38"/>
      <c r="L49" s="38"/>
      <c r="M49" s="66" t="str">
        <f aca="false">IF(OR($D49="",$F49=""),"",IF(COUNTIFS($D$7:$D49,$D49,$F$7:$F49,$F49)=1,1,0))</f>
        <v/>
      </c>
    </row>
    <row r="50" customFormat="false" ht="15" hidden="false" customHeight="true" outlineLevel="0" collapsed="false">
      <c r="A50" s="56"/>
      <c r="B50" s="56"/>
      <c r="C50" s="56"/>
      <c r="D50" s="56"/>
      <c r="E50" s="16"/>
      <c r="F50" s="16"/>
      <c r="G50" s="67"/>
      <c r="H50" s="67"/>
      <c r="I50" s="67"/>
      <c r="J50" s="67"/>
      <c r="K50" s="56"/>
      <c r="L50" s="56"/>
      <c r="M50" s="66" t="str">
        <f aca="false">IF(OR($D50="",$F50=""),"",IF(COUNTIFS($D$7:$D50,$D50,$F$7:$F50,$F50)=1,1,0))</f>
        <v/>
      </c>
    </row>
    <row r="51" customFormat="false" ht="15" hidden="false" customHeight="true" outlineLevel="0" collapsed="false">
      <c r="A51" s="38"/>
      <c r="B51" s="38"/>
      <c r="C51" s="38"/>
      <c r="D51" s="38"/>
      <c r="E51" s="13"/>
      <c r="F51" s="13"/>
      <c r="G51" s="67"/>
      <c r="H51" s="67"/>
      <c r="I51" s="67"/>
      <c r="J51" s="67"/>
      <c r="K51" s="38"/>
      <c r="L51" s="38"/>
      <c r="M51" s="66" t="str">
        <f aca="false">IF(OR($D51="",$F51=""),"",IF(COUNTIFS($D$7:$D51,$D51,$F$7:$F51,$F51)=1,1,0))</f>
        <v/>
      </c>
    </row>
    <row r="52" customFormat="false" ht="15" hidden="false" customHeight="true" outlineLevel="0" collapsed="false">
      <c r="A52" s="56"/>
      <c r="B52" s="56"/>
      <c r="C52" s="56"/>
      <c r="D52" s="56"/>
      <c r="E52" s="16"/>
      <c r="F52" s="16"/>
      <c r="G52" s="67"/>
      <c r="H52" s="67"/>
      <c r="I52" s="67"/>
      <c r="J52" s="67"/>
      <c r="K52" s="56"/>
      <c r="L52" s="56"/>
      <c r="M52" s="66" t="str">
        <f aca="false">IF(OR($D52="",$F52=""),"",IF(COUNTIFS($D$7:$D52,$D52,$F$7:$F52,$F52)=1,1,0))</f>
        <v/>
      </c>
    </row>
    <row r="53" customFormat="false" ht="15" hidden="false" customHeight="true" outlineLevel="0" collapsed="false">
      <c r="A53" s="38"/>
      <c r="B53" s="38"/>
      <c r="C53" s="38"/>
      <c r="D53" s="38"/>
      <c r="E53" s="13"/>
      <c r="F53" s="13"/>
      <c r="G53" s="67"/>
      <c r="H53" s="67"/>
      <c r="I53" s="67"/>
      <c r="J53" s="67"/>
      <c r="K53" s="38"/>
      <c r="L53" s="38"/>
      <c r="M53" s="66" t="str">
        <f aca="false">IF(OR($D53="",$F53=""),"",IF(COUNTIFS($D$7:$D53,$D53,$F$7:$F53,$F53)=1,1,0))</f>
        <v/>
      </c>
    </row>
    <row r="54" customFormat="false" ht="15" hidden="false" customHeight="true" outlineLevel="0" collapsed="false">
      <c r="A54" s="56"/>
      <c r="B54" s="56"/>
      <c r="C54" s="56"/>
      <c r="D54" s="56"/>
      <c r="E54" s="16"/>
      <c r="F54" s="16"/>
      <c r="G54" s="67"/>
      <c r="H54" s="67"/>
      <c r="I54" s="67"/>
      <c r="J54" s="67"/>
      <c r="K54" s="56"/>
      <c r="L54" s="56"/>
      <c r="M54" s="66" t="str">
        <f aca="false">IF(OR($D54="",$F54=""),"",IF(COUNTIFS($D$7:$D54,$D54,$F$7:$F54,$F54)=1,1,0))</f>
        <v/>
      </c>
    </row>
    <row r="55" customFormat="false" ht="15" hidden="false" customHeight="true" outlineLevel="0" collapsed="false">
      <c r="A55" s="38"/>
      <c r="B55" s="38"/>
      <c r="C55" s="38"/>
      <c r="D55" s="38"/>
      <c r="E55" s="13"/>
      <c r="F55" s="13"/>
      <c r="G55" s="67"/>
      <c r="H55" s="67"/>
      <c r="I55" s="67"/>
      <c r="J55" s="67"/>
      <c r="K55" s="38"/>
      <c r="L55" s="38"/>
      <c r="M55" s="66" t="str">
        <f aca="false">IF(OR($D55="",$F55=""),"",IF(COUNTIFS($D$7:$D55,$D55,$F$7:$F55,$F55)=1,1,0))</f>
        <v/>
      </c>
    </row>
    <row r="56" customFormat="false" ht="15" hidden="false" customHeight="true" outlineLevel="0" collapsed="false">
      <c r="A56" s="56"/>
      <c r="B56" s="56"/>
      <c r="C56" s="56"/>
      <c r="D56" s="56"/>
      <c r="E56" s="16"/>
      <c r="F56" s="16"/>
      <c r="G56" s="67"/>
      <c r="H56" s="67"/>
      <c r="I56" s="67"/>
      <c r="J56" s="67"/>
      <c r="K56" s="56"/>
      <c r="L56" s="56"/>
      <c r="M56" s="66" t="str">
        <f aca="false">IF(OR($D56="",$F56=""),"",IF(COUNTIFS($D$7:$D56,$D56,$F$7:$F56,$F56)=1,1,0))</f>
        <v/>
      </c>
    </row>
    <row r="57" customFormat="false" ht="15" hidden="false" customHeight="true" outlineLevel="0" collapsed="false">
      <c r="A57" s="38"/>
      <c r="B57" s="38"/>
      <c r="C57" s="38"/>
      <c r="D57" s="38"/>
      <c r="E57" s="13"/>
      <c r="F57" s="13"/>
      <c r="G57" s="67"/>
      <c r="H57" s="67"/>
      <c r="I57" s="67"/>
      <c r="J57" s="67"/>
      <c r="K57" s="38"/>
      <c r="L57" s="38"/>
      <c r="M57" s="66" t="str">
        <f aca="false">IF(OR($D57="",$F57=""),"",IF(COUNTIFS($D$7:$D57,$D57,$F$7:$F57,$F57)=1,1,0))</f>
        <v/>
      </c>
    </row>
    <row r="58" customFormat="false" ht="15" hidden="false" customHeight="true" outlineLevel="0" collapsed="false">
      <c r="A58" s="56"/>
      <c r="B58" s="56"/>
      <c r="C58" s="56"/>
      <c r="D58" s="56"/>
      <c r="E58" s="16"/>
      <c r="F58" s="16"/>
      <c r="G58" s="67"/>
      <c r="H58" s="67"/>
      <c r="I58" s="67"/>
      <c r="J58" s="67"/>
      <c r="K58" s="56"/>
      <c r="L58" s="56"/>
      <c r="M58" s="66" t="str">
        <f aca="false">IF(OR($D58="",$F58=""),"",IF(COUNTIFS($D$7:$D58,$D58,$F$7:$F58,$F58)=1,1,0))</f>
        <v/>
      </c>
    </row>
    <row r="59" customFormat="false" ht="15" hidden="false" customHeight="true" outlineLevel="0" collapsed="false">
      <c r="A59" s="38"/>
      <c r="B59" s="38"/>
      <c r="C59" s="38"/>
      <c r="D59" s="38"/>
      <c r="E59" s="13"/>
      <c r="F59" s="13"/>
      <c r="G59" s="67"/>
      <c r="H59" s="67"/>
      <c r="I59" s="67"/>
      <c r="J59" s="67"/>
      <c r="K59" s="38"/>
      <c r="L59" s="38"/>
      <c r="M59" s="66" t="str">
        <f aca="false">IF(OR($D59="",$F59=""),"",IF(COUNTIFS($D$7:$D59,$D59,$F$7:$F59,$F59)=1,1,0))</f>
        <v/>
      </c>
    </row>
    <row r="60" customFormat="false" ht="15" hidden="false" customHeight="true" outlineLevel="0" collapsed="false">
      <c r="A60" s="56"/>
      <c r="B60" s="56"/>
      <c r="C60" s="56"/>
      <c r="D60" s="56"/>
      <c r="E60" s="16"/>
      <c r="F60" s="16"/>
      <c r="G60" s="67"/>
      <c r="H60" s="67"/>
      <c r="I60" s="67"/>
      <c r="J60" s="67"/>
      <c r="K60" s="56"/>
      <c r="L60" s="56"/>
      <c r="M60" s="66" t="str">
        <f aca="false">IF(OR($D60="",$F60=""),"",IF(COUNTIFS($D$7:$D60,$D60,$F$7:$F60,$F60)=1,1,0))</f>
        <v/>
      </c>
    </row>
    <row r="61" customFormat="false" ht="15" hidden="false" customHeight="true" outlineLevel="0" collapsed="false">
      <c r="A61" s="38"/>
      <c r="B61" s="38"/>
      <c r="C61" s="38"/>
      <c r="D61" s="38"/>
      <c r="E61" s="13"/>
      <c r="F61" s="13"/>
      <c r="G61" s="67"/>
      <c r="H61" s="67"/>
      <c r="I61" s="67"/>
      <c r="J61" s="67"/>
      <c r="K61" s="38"/>
      <c r="L61" s="38"/>
      <c r="M61" s="66" t="str">
        <f aca="false">IF(OR($D61="",$F61=""),"",IF(COUNTIFS($D$7:$D61,$D61,$F$7:$F61,$F61)=1,1,0))</f>
        <v/>
      </c>
    </row>
    <row r="62" customFormat="false" ht="15" hidden="false" customHeight="true" outlineLevel="0" collapsed="false">
      <c r="A62" s="56"/>
      <c r="B62" s="56"/>
      <c r="C62" s="56"/>
      <c r="D62" s="56"/>
      <c r="E62" s="16"/>
      <c r="F62" s="16"/>
      <c r="G62" s="67"/>
      <c r="H62" s="67"/>
      <c r="I62" s="67"/>
      <c r="J62" s="67"/>
      <c r="K62" s="56"/>
      <c r="L62" s="56"/>
      <c r="M62" s="66" t="str">
        <f aca="false">IF(OR($D62="",$F62=""),"",IF(COUNTIFS($D$7:$D62,$D62,$F$7:$F62,$F62)=1,1,0))</f>
        <v/>
      </c>
    </row>
    <row r="63" customFormat="false" ht="15" hidden="false" customHeight="true" outlineLevel="0" collapsed="false">
      <c r="A63" s="38"/>
      <c r="B63" s="38"/>
      <c r="C63" s="38"/>
      <c r="D63" s="38"/>
      <c r="E63" s="13"/>
      <c r="F63" s="13"/>
      <c r="G63" s="67"/>
      <c r="H63" s="67"/>
      <c r="I63" s="67"/>
      <c r="J63" s="67"/>
      <c r="K63" s="38"/>
      <c r="L63" s="38"/>
      <c r="M63" s="66" t="str">
        <f aca="false">IF(OR($D63="",$F63=""),"",IF(COUNTIFS($D$7:$D63,$D63,$F$7:$F63,$F63)=1,1,0))</f>
        <v/>
      </c>
    </row>
    <row r="64" customFormat="false" ht="15" hidden="false" customHeight="true" outlineLevel="0" collapsed="false">
      <c r="A64" s="56"/>
      <c r="B64" s="56"/>
      <c r="C64" s="56"/>
      <c r="D64" s="56"/>
      <c r="E64" s="16"/>
      <c r="F64" s="16"/>
      <c r="G64" s="67"/>
      <c r="H64" s="67"/>
      <c r="I64" s="67"/>
      <c r="J64" s="67"/>
      <c r="K64" s="56"/>
      <c r="L64" s="56"/>
      <c r="M64" s="66" t="str">
        <f aca="false">IF(OR($D64="",$F64=""),"",IF(COUNTIFS($D$7:$D64,$D64,$F$7:$F64,$F64)=1,1,0))</f>
        <v/>
      </c>
    </row>
    <row r="65" customFormat="false" ht="15" hidden="false" customHeight="true" outlineLevel="0" collapsed="false">
      <c r="A65" s="38"/>
      <c r="B65" s="38"/>
      <c r="C65" s="38"/>
      <c r="D65" s="38"/>
      <c r="E65" s="13"/>
      <c r="F65" s="13"/>
      <c r="G65" s="67"/>
      <c r="H65" s="67"/>
      <c r="I65" s="67"/>
      <c r="J65" s="67"/>
      <c r="K65" s="38"/>
      <c r="L65" s="38"/>
      <c r="M65" s="66" t="str">
        <f aca="false">IF(OR($D65="",$F65=""),"",IF(COUNTIFS($D$7:$D65,$D65,$F$7:$F65,$F65)=1,1,0))</f>
        <v/>
      </c>
    </row>
    <row r="66" customFormat="false" ht="15" hidden="false" customHeight="true" outlineLevel="0" collapsed="false">
      <c r="A66" s="56"/>
      <c r="B66" s="56"/>
      <c r="C66" s="56"/>
      <c r="D66" s="56"/>
      <c r="E66" s="16"/>
      <c r="F66" s="16"/>
      <c r="G66" s="67"/>
      <c r="H66" s="67"/>
      <c r="I66" s="67"/>
      <c r="J66" s="67"/>
      <c r="K66" s="56"/>
      <c r="L66" s="56"/>
      <c r="M66" s="66" t="str">
        <f aca="false">IF(OR($D66="",$F66=""),"",IF(COUNTIFS($D$7:$D66,$D66,$F$7:$F66,$F66)=1,1,0))</f>
        <v/>
      </c>
    </row>
    <row r="67" customFormat="false" ht="15" hidden="false" customHeight="true" outlineLevel="0" collapsed="false">
      <c r="A67" s="38"/>
      <c r="B67" s="38"/>
      <c r="C67" s="38"/>
      <c r="D67" s="38"/>
      <c r="E67" s="13"/>
      <c r="F67" s="13"/>
      <c r="G67" s="67"/>
      <c r="H67" s="67"/>
      <c r="I67" s="67"/>
      <c r="J67" s="67"/>
      <c r="K67" s="38"/>
      <c r="L67" s="38"/>
      <c r="M67" s="66" t="str">
        <f aca="false">IF(OR($D67="",$F67=""),"",IF(COUNTIFS($D$7:$D67,$D67,$F$7:$F67,$F67)=1,1,0))</f>
        <v/>
      </c>
    </row>
    <row r="68" customFormat="false" ht="15" hidden="false" customHeight="true" outlineLevel="0" collapsed="false">
      <c r="A68" s="56"/>
      <c r="B68" s="56"/>
      <c r="C68" s="56"/>
      <c r="D68" s="56"/>
      <c r="E68" s="16"/>
      <c r="F68" s="16"/>
      <c r="G68" s="67"/>
      <c r="H68" s="67"/>
      <c r="I68" s="67"/>
      <c r="J68" s="67"/>
      <c r="K68" s="56"/>
      <c r="L68" s="56"/>
      <c r="M68" s="66" t="str">
        <f aca="false">IF(OR($D68="",$F68=""),"",IF(COUNTIFS($D$7:$D68,$D68,$F$7:$F68,$F68)=1,1,0))</f>
        <v/>
      </c>
    </row>
    <row r="69" customFormat="false" ht="15" hidden="false" customHeight="true" outlineLevel="0" collapsed="false">
      <c r="A69" s="38"/>
      <c r="B69" s="38"/>
      <c r="C69" s="38"/>
      <c r="D69" s="38"/>
      <c r="E69" s="13"/>
      <c r="F69" s="13"/>
      <c r="G69" s="67"/>
      <c r="H69" s="67"/>
      <c r="I69" s="67"/>
      <c r="J69" s="67"/>
      <c r="K69" s="38"/>
      <c r="L69" s="38"/>
      <c r="M69" s="66" t="str">
        <f aca="false">IF(OR($D69="",$F69=""),"",IF(COUNTIFS($D$7:$D69,$D69,$F$7:$F69,$F69)=1,1,0))</f>
        <v/>
      </c>
    </row>
    <row r="70" customFormat="false" ht="15" hidden="false" customHeight="true" outlineLevel="0" collapsed="false">
      <c r="A70" s="56"/>
      <c r="B70" s="56"/>
      <c r="C70" s="56"/>
      <c r="D70" s="56"/>
      <c r="E70" s="16"/>
      <c r="F70" s="16"/>
      <c r="G70" s="67"/>
      <c r="H70" s="67"/>
      <c r="I70" s="67"/>
      <c r="J70" s="67"/>
      <c r="K70" s="56"/>
      <c r="L70" s="56"/>
      <c r="M70" s="66" t="str">
        <f aca="false">IF(OR($D70="",$F70=""),"",IF(COUNTIFS($D$7:$D70,$D70,$F$7:$F70,$F70)=1,1,0))</f>
        <v/>
      </c>
    </row>
    <row r="71" customFormat="false" ht="15" hidden="false" customHeight="true" outlineLevel="0" collapsed="false">
      <c r="A71" s="38"/>
      <c r="B71" s="38"/>
      <c r="C71" s="38"/>
      <c r="D71" s="38"/>
      <c r="E71" s="13"/>
      <c r="F71" s="13"/>
      <c r="G71" s="67"/>
      <c r="H71" s="67"/>
      <c r="I71" s="67"/>
      <c r="J71" s="67"/>
      <c r="K71" s="38"/>
      <c r="L71" s="38"/>
      <c r="M71" s="66" t="str">
        <f aca="false">IF(OR($D71="",$F71=""),"",IF(COUNTIFS($D$7:$D71,$D71,$F$7:$F71,$F71)=1,1,0))</f>
        <v/>
      </c>
    </row>
    <row r="72" customFormat="false" ht="15" hidden="false" customHeight="true" outlineLevel="0" collapsed="false">
      <c r="A72" s="56"/>
      <c r="B72" s="56"/>
      <c r="C72" s="56"/>
      <c r="D72" s="56"/>
      <c r="E72" s="16"/>
      <c r="F72" s="16"/>
      <c r="G72" s="67"/>
      <c r="H72" s="67"/>
      <c r="I72" s="67"/>
      <c r="J72" s="67"/>
      <c r="K72" s="56"/>
      <c r="L72" s="56"/>
      <c r="M72" s="66" t="str">
        <f aca="false">IF(OR($D72="",$F72=""),"",IF(COUNTIFS($D$7:$D72,$D72,$F$7:$F72,$F72)=1,1,0))</f>
        <v/>
      </c>
    </row>
    <row r="73" customFormat="false" ht="15" hidden="false" customHeight="true" outlineLevel="0" collapsed="false">
      <c r="A73" s="38"/>
      <c r="B73" s="38"/>
      <c r="C73" s="38"/>
      <c r="D73" s="38"/>
      <c r="E73" s="13"/>
      <c r="F73" s="13"/>
      <c r="G73" s="67"/>
      <c r="H73" s="67"/>
      <c r="I73" s="67"/>
      <c r="J73" s="67"/>
      <c r="K73" s="38"/>
      <c r="L73" s="38"/>
      <c r="M73" s="66" t="str">
        <f aca="false">IF(OR($D73="",$F73=""),"",IF(COUNTIFS($D$7:$D73,$D73,$F$7:$F73,$F73)=1,1,0))</f>
        <v/>
      </c>
    </row>
    <row r="74" customFormat="false" ht="15" hidden="false" customHeight="true" outlineLevel="0" collapsed="false">
      <c r="A74" s="56"/>
      <c r="B74" s="56"/>
      <c r="C74" s="56"/>
      <c r="D74" s="56"/>
      <c r="E74" s="16"/>
      <c r="F74" s="16"/>
      <c r="G74" s="67"/>
      <c r="H74" s="67"/>
      <c r="I74" s="67"/>
      <c r="J74" s="67"/>
      <c r="K74" s="56"/>
      <c r="L74" s="56"/>
      <c r="M74" s="66" t="str">
        <f aca="false">IF(OR($D74="",$F74=""),"",IF(COUNTIFS($D$7:$D74,$D74,$F$7:$F74,$F74)=1,1,0))</f>
        <v/>
      </c>
    </row>
    <row r="75" customFormat="false" ht="15" hidden="false" customHeight="true" outlineLevel="0" collapsed="false">
      <c r="A75" s="38"/>
      <c r="B75" s="38"/>
      <c r="C75" s="38"/>
      <c r="D75" s="38"/>
      <c r="E75" s="13"/>
      <c r="F75" s="13"/>
      <c r="G75" s="67"/>
      <c r="H75" s="67"/>
      <c r="I75" s="67"/>
      <c r="J75" s="67"/>
      <c r="K75" s="38"/>
      <c r="L75" s="38"/>
      <c r="M75" s="66" t="str">
        <f aca="false">IF(OR($D75="",$F75=""),"",IF(COUNTIFS($D$7:$D75,$D75,$F$7:$F75,$F75)=1,1,0))</f>
        <v/>
      </c>
    </row>
    <row r="76" customFormat="false" ht="15" hidden="false" customHeight="true" outlineLevel="0" collapsed="false">
      <c r="A76" s="56"/>
      <c r="B76" s="56"/>
      <c r="C76" s="56"/>
      <c r="D76" s="56"/>
      <c r="E76" s="16"/>
      <c r="F76" s="16"/>
      <c r="G76" s="67"/>
      <c r="H76" s="67"/>
      <c r="I76" s="67"/>
      <c r="J76" s="67"/>
      <c r="K76" s="56"/>
      <c r="L76" s="56"/>
      <c r="M76" s="66" t="str">
        <f aca="false">IF(OR($D76="",$F76=""),"",IF(COUNTIFS($D$7:$D76,$D76,$F$7:$F76,$F76)=1,1,0))</f>
        <v/>
      </c>
    </row>
    <row r="77" customFormat="false" ht="15" hidden="false" customHeight="true" outlineLevel="0" collapsed="false">
      <c r="A77" s="38"/>
      <c r="B77" s="38"/>
      <c r="C77" s="38"/>
      <c r="D77" s="38"/>
      <c r="E77" s="13"/>
      <c r="F77" s="13"/>
      <c r="G77" s="67"/>
      <c r="H77" s="67"/>
      <c r="I77" s="67"/>
      <c r="J77" s="67"/>
      <c r="K77" s="38"/>
      <c r="L77" s="38"/>
      <c r="M77" s="66" t="str">
        <f aca="false">IF(OR($D77="",$F77=""),"",IF(COUNTIFS($D$7:$D77,$D77,$F$7:$F77,$F77)=1,1,0))</f>
        <v/>
      </c>
    </row>
    <row r="78" customFormat="false" ht="15" hidden="false" customHeight="true" outlineLevel="0" collapsed="false">
      <c r="A78" s="56"/>
      <c r="B78" s="56"/>
      <c r="C78" s="56"/>
      <c r="D78" s="56"/>
      <c r="E78" s="16"/>
      <c r="F78" s="16"/>
      <c r="G78" s="67"/>
      <c r="H78" s="67"/>
      <c r="I78" s="67"/>
      <c r="J78" s="67"/>
      <c r="K78" s="56"/>
      <c r="L78" s="56"/>
      <c r="M78" s="66" t="str">
        <f aca="false">IF(OR($D78="",$F78=""),"",IF(COUNTIFS($D$7:$D78,$D78,$F$7:$F78,$F78)=1,1,0))</f>
        <v/>
      </c>
    </row>
    <row r="79" customFormat="false" ht="15" hidden="false" customHeight="true" outlineLevel="0" collapsed="false">
      <c r="A79" s="38"/>
      <c r="B79" s="38"/>
      <c r="C79" s="38"/>
      <c r="D79" s="38"/>
      <c r="E79" s="13"/>
      <c r="F79" s="13"/>
      <c r="G79" s="67"/>
      <c r="H79" s="67"/>
      <c r="I79" s="67"/>
      <c r="J79" s="67"/>
      <c r="K79" s="38"/>
      <c r="L79" s="38"/>
      <c r="M79" s="66" t="str">
        <f aca="false">IF(OR($D79="",$F79=""),"",IF(COUNTIFS($D$7:$D79,$D79,$F$7:$F79,$F79)=1,1,0))</f>
        <v/>
      </c>
    </row>
    <row r="80" customFormat="false" ht="15" hidden="false" customHeight="true" outlineLevel="0" collapsed="false">
      <c r="A80" s="56"/>
      <c r="B80" s="56"/>
      <c r="C80" s="56"/>
      <c r="D80" s="56"/>
      <c r="E80" s="16"/>
      <c r="F80" s="16"/>
      <c r="G80" s="67"/>
      <c r="H80" s="67"/>
      <c r="I80" s="67"/>
      <c r="J80" s="67"/>
      <c r="K80" s="56"/>
      <c r="L80" s="56"/>
      <c r="M80" s="66" t="str">
        <f aca="false">IF(OR($D80="",$F80=""),"",IF(COUNTIFS($D$7:$D80,$D80,$F$7:$F80,$F80)=1,1,0))</f>
        <v/>
      </c>
    </row>
    <row r="81" customFormat="false" ht="15" hidden="false" customHeight="true" outlineLevel="0" collapsed="false">
      <c r="A81" s="38"/>
      <c r="B81" s="38"/>
      <c r="C81" s="38"/>
      <c r="D81" s="38"/>
      <c r="E81" s="13"/>
      <c r="F81" s="13"/>
      <c r="G81" s="67"/>
      <c r="H81" s="67"/>
      <c r="I81" s="67"/>
      <c r="J81" s="67"/>
      <c r="K81" s="38"/>
      <c r="L81" s="38"/>
      <c r="M81" s="66" t="str">
        <f aca="false">IF(OR($D81="",$F81=""),"",IF(COUNTIFS($D$7:$D81,$D81,$F$7:$F81,$F81)=1,1,0))</f>
        <v/>
      </c>
    </row>
    <row r="82" customFormat="false" ht="15" hidden="false" customHeight="true" outlineLevel="0" collapsed="false">
      <c r="A82" s="56"/>
      <c r="B82" s="56"/>
      <c r="C82" s="56"/>
      <c r="D82" s="56"/>
      <c r="E82" s="16"/>
      <c r="F82" s="16"/>
      <c r="G82" s="67"/>
      <c r="H82" s="67"/>
      <c r="I82" s="67"/>
      <c r="J82" s="67"/>
      <c r="K82" s="56"/>
      <c r="L82" s="56"/>
      <c r="M82" s="66" t="str">
        <f aca="false">IF(OR($D82="",$F82=""),"",IF(COUNTIFS($D$7:$D82,$D82,$F$7:$F82,$F82)=1,1,0))</f>
        <v/>
      </c>
    </row>
    <row r="83" customFormat="false" ht="15" hidden="false" customHeight="true" outlineLevel="0" collapsed="false">
      <c r="A83" s="38"/>
      <c r="B83" s="38"/>
      <c r="C83" s="38"/>
      <c r="D83" s="38"/>
      <c r="E83" s="13"/>
      <c r="F83" s="13"/>
      <c r="G83" s="67"/>
      <c r="H83" s="67"/>
      <c r="I83" s="67"/>
      <c r="J83" s="67"/>
      <c r="K83" s="38"/>
      <c r="L83" s="38"/>
      <c r="M83" s="66" t="str">
        <f aca="false">IF(OR($D83="",$F83=""),"",IF(COUNTIFS($D$7:$D83,$D83,$F$7:$F83,$F83)=1,1,0))</f>
        <v/>
      </c>
    </row>
    <row r="84" customFormat="false" ht="15" hidden="false" customHeight="true" outlineLevel="0" collapsed="false">
      <c r="A84" s="56"/>
      <c r="B84" s="56"/>
      <c r="C84" s="56"/>
      <c r="D84" s="56"/>
      <c r="E84" s="16"/>
      <c r="F84" s="16"/>
      <c r="G84" s="67"/>
      <c r="H84" s="67"/>
      <c r="I84" s="67"/>
      <c r="J84" s="67"/>
      <c r="K84" s="56"/>
      <c r="L84" s="56"/>
      <c r="M84" s="66" t="str">
        <f aca="false">IF(OR($D84="",$F84=""),"",IF(COUNTIFS($D$7:$D84,$D84,$F$7:$F84,$F84)=1,1,0))</f>
        <v/>
      </c>
    </row>
    <row r="85" customFormat="false" ht="15" hidden="false" customHeight="true" outlineLevel="0" collapsed="false">
      <c r="A85" s="38"/>
      <c r="B85" s="38"/>
      <c r="C85" s="38"/>
      <c r="D85" s="38"/>
      <c r="E85" s="13"/>
      <c r="F85" s="13"/>
      <c r="G85" s="67"/>
      <c r="H85" s="67"/>
      <c r="I85" s="67"/>
      <c r="J85" s="67"/>
      <c r="K85" s="38"/>
      <c r="L85" s="38"/>
      <c r="M85" s="66" t="str">
        <f aca="false">IF(OR($D85="",$F85=""),"",IF(COUNTIFS($D$7:$D85,$D85,$F$7:$F85,$F85)=1,1,0))</f>
        <v/>
      </c>
    </row>
    <row r="86" customFormat="false" ht="15" hidden="false" customHeight="true" outlineLevel="0" collapsed="false">
      <c r="A86" s="56"/>
      <c r="B86" s="56"/>
      <c r="C86" s="56"/>
      <c r="D86" s="56"/>
      <c r="E86" s="16"/>
      <c r="F86" s="16"/>
      <c r="G86" s="67"/>
      <c r="H86" s="67"/>
      <c r="I86" s="67"/>
      <c r="J86" s="67"/>
      <c r="K86" s="56"/>
      <c r="L86" s="56"/>
      <c r="M86" s="66" t="str">
        <f aca="false">IF(OR($D86="",$F86=""),"",IF(COUNTIFS($D$7:$D86,$D86,$F$7:$F86,$F86)=1,1,0))</f>
        <v/>
      </c>
    </row>
    <row r="87" customFormat="false" ht="15" hidden="false" customHeight="true" outlineLevel="0" collapsed="false">
      <c r="A87" s="38"/>
      <c r="B87" s="38"/>
      <c r="C87" s="38"/>
      <c r="D87" s="38"/>
      <c r="E87" s="13"/>
      <c r="F87" s="13"/>
      <c r="G87" s="67"/>
      <c r="H87" s="67"/>
      <c r="I87" s="67"/>
      <c r="J87" s="67"/>
      <c r="K87" s="38"/>
      <c r="L87" s="38"/>
      <c r="M87" s="66" t="str">
        <f aca="false">IF(OR($D87="",$F87=""),"",IF(COUNTIFS($D$7:$D87,$D87,$F$7:$F87,$F87)=1,1,0))</f>
        <v/>
      </c>
    </row>
    <row r="88" customFormat="false" ht="15" hidden="false" customHeight="true" outlineLevel="0" collapsed="false">
      <c r="A88" s="56"/>
      <c r="B88" s="56"/>
      <c r="C88" s="56"/>
      <c r="D88" s="56"/>
      <c r="E88" s="16"/>
      <c r="F88" s="16"/>
      <c r="G88" s="67"/>
      <c r="H88" s="67"/>
      <c r="I88" s="67"/>
      <c r="J88" s="67"/>
      <c r="K88" s="56"/>
      <c r="L88" s="56"/>
      <c r="M88" s="66" t="str">
        <f aca="false">IF(OR($D88="",$F88=""),"",IF(COUNTIFS($D$7:$D88,$D88,$F$7:$F88,$F88)=1,1,0))</f>
        <v/>
      </c>
    </row>
    <row r="89" customFormat="false" ht="15" hidden="false" customHeight="true" outlineLevel="0" collapsed="false">
      <c r="A89" s="38"/>
      <c r="B89" s="38"/>
      <c r="C89" s="38"/>
      <c r="D89" s="38"/>
      <c r="E89" s="13"/>
      <c r="F89" s="13"/>
      <c r="G89" s="67"/>
      <c r="H89" s="67"/>
      <c r="I89" s="67"/>
      <c r="J89" s="67"/>
      <c r="K89" s="38"/>
      <c r="L89" s="38"/>
      <c r="M89" s="66" t="str">
        <f aca="false">IF(OR($D89="",$F89=""),"",IF(COUNTIFS($D$7:$D89,$D89,$F$7:$F89,$F89)=1,1,0))</f>
        <v/>
      </c>
    </row>
    <row r="90" customFormat="false" ht="15" hidden="false" customHeight="true" outlineLevel="0" collapsed="false">
      <c r="A90" s="56"/>
      <c r="B90" s="56"/>
      <c r="C90" s="56"/>
      <c r="D90" s="56"/>
      <c r="E90" s="16"/>
      <c r="F90" s="16"/>
      <c r="G90" s="67"/>
      <c r="H90" s="67"/>
      <c r="I90" s="67"/>
      <c r="J90" s="67"/>
      <c r="K90" s="56"/>
      <c r="L90" s="56"/>
      <c r="M90" s="66" t="str">
        <f aca="false">IF(OR($D90="",$F90=""),"",IF(COUNTIFS($D$7:$D90,$D90,$F$7:$F90,$F90)=1,1,0))</f>
        <v/>
      </c>
    </row>
    <row r="91" customFormat="false" ht="15" hidden="false" customHeight="true" outlineLevel="0" collapsed="false">
      <c r="A91" s="38"/>
      <c r="B91" s="38"/>
      <c r="C91" s="38"/>
      <c r="D91" s="38"/>
      <c r="E91" s="13"/>
      <c r="F91" s="13"/>
      <c r="G91" s="67"/>
      <c r="H91" s="67"/>
      <c r="I91" s="67"/>
      <c r="J91" s="67"/>
      <c r="K91" s="38"/>
      <c r="L91" s="38"/>
      <c r="M91" s="66" t="str">
        <f aca="false">IF(OR($D91="",$F91=""),"",IF(COUNTIFS($D$7:$D91,$D91,$F$7:$F91,$F91)=1,1,0))</f>
        <v/>
      </c>
    </row>
    <row r="92" customFormat="false" ht="15" hidden="false" customHeight="true" outlineLevel="0" collapsed="false">
      <c r="A92" s="56"/>
      <c r="B92" s="56"/>
      <c r="C92" s="56"/>
      <c r="D92" s="56"/>
      <c r="E92" s="16"/>
      <c r="F92" s="16"/>
      <c r="G92" s="67"/>
      <c r="H92" s="67"/>
      <c r="I92" s="67"/>
      <c r="J92" s="67"/>
      <c r="K92" s="56"/>
      <c r="L92" s="56"/>
      <c r="M92" s="66" t="str">
        <f aca="false">IF(OR($D92="",$F92=""),"",IF(COUNTIFS($D$7:$D92,$D92,$F$7:$F92,$F92)=1,1,0))</f>
        <v/>
      </c>
    </row>
    <row r="93" customFormat="false" ht="15" hidden="false" customHeight="true" outlineLevel="0" collapsed="false">
      <c r="A93" s="38"/>
      <c r="B93" s="38"/>
      <c r="C93" s="38"/>
      <c r="D93" s="38"/>
      <c r="E93" s="13"/>
      <c r="F93" s="13"/>
      <c r="G93" s="67"/>
      <c r="H93" s="67"/>
      <c r="I93" s="67"/>
      <c r="J93" s="67"/>
      <c r="K93" s="38"/>
      <c r="L93" s="38"/>
      <c r="M93" s="66" t="str">
        <f aca="false">IF(OR($D93="",$F93=""),"",IF(COUNTIFS($D$7:$D93,$D93,$F$7:$F93,$F93)=1,1,0))</f>
        <v/>
      </c>
    </row>
    <row r="94" customFormat="false" ht="15" hidden="false" customHeight="true" outlineLevel="0" collapsed="false">
      <c r="A94" s="56"/>
      <c r="B94" s="56"/>
      <c r="C94" s="56"/>
      <c r="D94" s="56"/>
      <c r="E94" s="16"/>
      <c r="F94" s="16"/>
      <c r="G94" s="67"/>
      <c r="H94" s="67"/>
      <c r="I94" s="67"/>
      <c r="J94" s="67"/>
      <c r="K94" s="56"/>
      <c r="L94" s="56"/>
      <c r="M94" s="66" t="str">
        <f aca="false">IF(OR($D94="",$F94=""),"",IF(COUNTIFS($D$7:$D94,$D94,$F$7:$F94,$F94)=1,1,0))</f>
        <v/>
      </c>
    </row>
    <row r="95" customFormat="false" ht="15" hidden="false" customHeight="true" outlineLevel="0" collapsed="false">
      <c r="A95" s="38"/>
      <c r="B95" s="38"/>
      <c r="C95" s="38"/>
      <c r="D95" s="38"/>
      <c r="E95" s="13"/>
      <c r="F95" s="13"/>
      <c r="G95" s="67"/>
      <c r="H95" s="67"/>
      <c r="I95" s="67"/>
      <c r="J95" s="67"/>
      <c r="K95" s="38"/>
      <c r="L95" s="38"/>
      <c r="M95" s="66" t="str">
        <f aca="false">IF(OR($D95="",$F95=""),"",IF(COUNTIFS($D$7:$D95,$D95,$F$7:$F95,$F95)=1,1,0))</f>
        <v/>
      </c>
    </row>
    <row r="96" customFormat="false" ht="15" hidden="false" customHeight="true" outlineLevel="0" collapsed="false">
      <c r="A96" s="56"/>
      <c r="B96" s="56"/>
      <c r="C96" s="56"/>
      <c r="D96" s="56"/>
      <c r="E96" s="16"/>
      <c r="F96" s="16"/>
      <c r="G96" s="67"/>
      <c r="H96" s="67"/>
      <c r="I96" s="67"/>
      <c r="J96" s="67"/>
      <c r="K96" s="56"/>
      <c r="L96" s="56"/>
      <c r="M96" s="66" t="str">
        <f aca="false">IF(OR($D96="",$F96=""),"",IF(COUNTIFS($D$7:$D96,$D96,$F$7:$F96,$F96)=1,1,0))</f>
        <v/>
      </c>
    </row>
    <row r="97" customFormat="false" ht="15" hidden="false" customHeight="true" outlineLevel="0" collapsed="false">
      <c r="A97" s="38"/>
      <c r="B97" s="38"/>
      <c r="C97" s="38"/>
      <c r="D97" s="38"/>
      <c r="E97" s="13"/>
      <c r="F97" s="13"/>
      <c r="G97" s="67"/>
      <c r="H97" s="67"/>
      <c r="I97" s="67"/>
      <c r="J97" s="67"/>
      <c r="K97" s="38"/>
      <c r="L97" s="38"/>
      <c r="M97" s="66" t="str">
        <f aca="false">IF(OR($D97="",$F97=""),"",IF(COUNTIFS($D$7:$D97,$D97,$F$7:$F97,$F97)=1,1,0))</f>
        <v/>
      </c>
    </row>
    <row r="98" customFormat="false" ht="15" hidden="false" customHeight="true" outlineLevel="0" collapsed="false">
      <c r="A98" s="56"/>
      <c r="B98" s="56"/>
      <c r="C98" s="56"/>
      <c r="D98" s="56"/>
      <c r="E98" s="16"/>
      <c r="F98" s="16"/>
      <c r="G98" s="67"/>
      <c r="H98" s="67"/>
      <c r="I98" s="67"/>
      <c r="J98" s="67"/>
      <c r="K98" s="56"/>
      <c r="L98" s="56"/>
      <c r="M98" s="66" t="str">
        <f aca="false">IF(OR($D98="",$F98=""),"",IF(COUNTIFS($D$7:$D98,$D98,$F$7:$F98,$F98)=1,1,0))</f>
        <v/>
      </c>
    </row>
    <row r="99" customFormat="false" ht="15" hidden="false" customHeight="true" outlineLevel="0" collapsed="false">
      <c r="A99" s="38"/>
      <c r="B99" s="38"/>
      <c r="C99" s="38"/>
      <c r="D99" s="38"/>
      <c r="E99" s="13"/>
      <c r="F99" s="13"/>
      <c r="G99" s="67"/>
      <c r="H99" s="67"/>
      <c r="I99" s="67"/>
      <c r="J99" s="67"/>
      <c r="K99" s="38"/>
      <c r="L99" s="38"/>
      <c r="M99" s="66" t="str">
        <f aca="false">IF(OR($D99="",$F99=""),"",IF(COUNTIFS($D$7:$D99,$D99,$F$7:$F99,$F99)=1,1,0))</f>
        <v/>
      </c>
    </row>
    <row r="100" customFormat="false" ht="15" hidden="false" customHeight="true" outlineLevel="0" collapsed="false">
      <c r="A100" s="56"/>
      <c r="B100" s="56"/>
      <c r="C100" s="56"/>
      <c r="D100" s="56"/>
      <c r="E100" s="16"/>
      <c r="F100" s="16"/>
      <c r="G100" s="67"/>
      <c r="H100" s="67"/>
      <c r="I100" s="67"/>
      <c r="J100" s="67"/>
      <c r="K100" s="56"/>
      <c r="L100" s="56"/>
      <c r="M100" s="66" t="str">
        <f aca="false">IF(OR($D100="",$F100=""),"",IF(COUNTIFS($D$7:$D100,$D100,$F$7:$F100,$F100)=1,1,0))</f>
        <v/>
      </c>
    </row>
    <row r="101" customFormat="false" ht="15" hidden="false" customHeight="true" outlineLevel="0" collapsed="false">
      <c r="A101" s="38"/>
      <c r="B101" s="38"/>
      <c r="C101" s="38"/>
      <c r="D101" s="38"/>
      <c r="E101" s="13"/>
      <c r="F101" s="13"/>
      <c r="G101" s="67"/>
      <c r="H101" s="67"/>
      <c r="I101" s="67"/>
      <c r="J101" s="67"/>
      <c r="K101" s="38"/>
      <c r="L101" s="38"/>
      <c r="M101" s="66" t="str">
        <f aca="false">IF(OR($D101="",$F101=""),"",IF(COUNTIFS($D$7:$D101,$D101,$F$7:$F101,$F101)=1,1,0))</f>
        <v/>
      </c>
    </row>
    <row r="102" customFormat="false" ht="15" hidden="false" customHeight="true" outlineLevel="0" collapsed="false">
      <c r="A102" s="56"/>
      <c r="B102" s="56"/>
      <c r="C102" s="56"/>
      <c r="D102" s="56"/>
      <c r="E102" s="16"/>
      <c r="F102" s="16"/>
      <c r="G102" s="67"/>
      <c r="H102" s="67"/>
      <c r="I102" s="67"/>
      <c r="J102" s="67"/>
      <c r="K102" s="56"/>
      <c r="L102" s="56"/>
      <c r="M102" s="66" t="str">
        <f aca="false">IF(OR($D102="",$F102=""),"",IF(COUNTIFS($D$7:$D102,$D102,$F$7:$F102,$F102)=1,1,0))</f>
        <v/>
      </c>
    </row>
    <row r="103" customFormat="false" ht="15" hidden="false" customHeight="true" outlineLevel="0" collapsed="false">
      <c r="A103" s="38"/>
      <c r="B103" s="38"/>
      <c r="C103" s="38"/>
      <c r="D103" s="38"/>
      <c r="E103" s="13"/>
      <c r="F103" s="13"/>
      <c r="G103" s="67"/>
      <c r="H103" s="67"/>
      <c r="I103" s="67"/>
      <c r="J103" s="67"/>
      <c r="K103" s="38"/>
      <c r="L103" s="38"/>
      <c r="M103" s="66" t="str">
        <f aca="false">IF(OR($D103="",$F103=""),"",IF(COUNTIFS($D$7:$D103,$D103,$F$7:$F103,$F103)=1,1,0))</f>
        <v/>
      </c>
    </row>
    <row r="104" customFormat="false" ht="15" hidden="false" customHeight="true" outlineLevel="0" collapsed="false">
      <c r="A104" s="56"/>
      <c r="B104" s="56"/>
      <c r="C104" s="56"/>
      <c r="D104" s="56"/>
      <c r="E104" s="16"/>
      <c r="F104" s="16"/>
      <c r="G104" s="67"/>
      <c r="H104" s="67"/>
      <c r="I104" s="67"/>
      <c r="J104" s="67"/>
      <c r="K104" s="56"/>
      <c r="L104" s="56"/>
      <c r="M104" s="66" t="str">
        <f aca="false">IF(OR($D104="",$F104=""),"",IF(COUNTIFS($D$7:$D104,$D104,$F$7:$F104,$F104)=1,1,0))</f>
        <v/>
      </c>
    </row>
    <row r="105" customFormat="false" ht="15" hidden="false" customHeight="true" outlineLevel="0" collapsed="false">
      <c r="A105" s="38"/>
      <c r="B105" s="38"/>
      <c r="C105" s="38"/>
      <c r="D105" s="38"/>
      <c r="E105" s="13"/>
      <c r="F105" s="13"/>
      <c r="G105" s="67"/>
      <c r="H105" s="67"/>
      <c r="I105" s="67"/>
      <c r="J105" s="67"/>
      <c r="K105" s="38"/>
      <c r="L105" s="38"/>
      <c r="M105" s="66" t="str">
        <f aca="false">IF(OR($D105="",$F105=""),"",IF(COUNTIFS($D$7:$D105,$D105,$F$7:$F105,$F105)=1,1,0))</f>
        <v/>
      </c>
    </row>
    <row r="106" customFormat="false" ht="15" hidden="false" customHeight="true" outlineLevel="0" collapsed="false">
      <c r="A106" s="56"/>
      <c r="B106" s="56"/>
      <c r="C106" s="56"/>
      <c r="D106" s="56"/>
      <c r="E106" s="16"/>
      <c r="F106" s="16"/>
      <c r="G106" s="67"/>
      <c r="H106" s="67"/>
      <c r="I106" s="67"/>
      <c r="J106" s="67"/>
      <c r="K106" s="56"/>
      <c r="L106" s="56"/>
      <c r="M106" s="66" t="str">
        <f aca="false">IF(OR($D106="",$F106=""),"",IF(COUNTIFS($D$7:$D106,$D106,$F$7:$F106,$F106)=1,1,0))</f>
        <v/>
      </c>
    </row>
    <row r="107" customFormat="false" ht="15" hidden="false" customHeight="true" outlineLevel="0" collapsed="false">
      <c r="A107" s="38"/>
      <c r="B107" s="38"/>
      <c r="C107" s="38"/>
      <c r="D107" s="38"/>
      <c r="E107" s="13"/>
      <c r="F107" s="13"/>
      <c r="G107" s="67"/>
      <c r="H107" s="67"/>
      <c r="I107" s="67"/>
      <c r="J107" s="67"/>
      <c r="K107" s="38"/>
      <c r="L107" s="38"/>
      <c r="M107" s="66" t="str">
        <f aca="false">IF(OR($D107="",$F107=""),"",IF(COUNTIFS($D$7:$D107,$D107,$F$7:$F107,$F107)=1,1,0))</f>
        <v/>
      </c>
    </row>
    <row r="108" customFormat="false" ht="15" hidden="false" customHeight="true" outlineLevel="0" collapsed="false">
      <c r="A108" s="56"/>
      <c r="B108" s="56"/>
      <c r="C108" s="56"/>
      <c r="D108" s="56"/>
      <c r="E108" s="16"/>
      <c r="F108" s="16"/>
      <c r="G108" s="67"/>
      <c r="H108" s="67"/>
      <c r="I108" s="67"/>
      <c r="J108" s="67"/>
      <c r="K108" s="56"/>
      <c r="L108" s="56"/>
      <c r="M108" s="66" t="str">
        <f aca="false">IF(OR($D108="",$F108=""),"",IF(COUNTIFS($D$7:$D108,$D108,$F$7:$F108,$F108)=1,1,0))</f>
        <v/>
      </c>
    </row>
    <row r="109" customFormat="false" ht="15" hidden="false" customHeight="true" outlineLevel="0" collapsed="false">
      <c r="A109" s="38"/>
      <c r="B109" s="38"/>
      <c r="C109" s="38"/>
      <c r="D109" s="38"/>
      <c r="E109" s="13"/>
      <c r="F109" s="13"/>
      <c r="G109" s="67"/>
      <c r="H109" s="67"/>
      <c r="I109" s="67"/>
      <c r="J109" s="67"/>
      <c r="K109" s="38"/>
      <c r="L109" s="38"/>
      <c r="M109" s="66" t="str">
        <f aca="false">IF(OR($D109="",$F109=""),"",IF(COUNTIFS($D$7:$D109,$D109,$F$7:$F109,$F109)=1,1,0))</f>
        <v/>
      </c>
    </row>
    <row r="110" customFormat="false" ht="15" hidden="false" customHeight="true" outlineLevel="0" collapsed="false">
      <c r="A110" s="56"/>
      <c r="B110" s="56"/>
      <c r="C110" s="56"/>
      <c r="D110" s="56"/>
      <c r="E110" s="16"/>
      <c r="F110" s="16"/>
      <c r="G110" s="67"/>
      <c r="H110" s="67"/>
      <c r="I110" s="67"/>
      <c r="J110" s="67"/>
      <c r="K110" s="56"/>
      <c r="L110" s="56"/>
      <c r="M110" s="66" t="str">
        <f aca="false">IF(OR($D110="",$F110=""),"",IF(COUNTIFS($D$7:$D110,$D110,$F$7:$F110,$F110)=1,1,0))</f>
        <v/>
      </c>
    </row>
    <row r="111" customFormat="false" ht="15" hidden="false" customHeight="true" outlineLevel="0" collapsed="false">
      <c r="A111" s="38"/>
      <c r="B111" s="38"/>
      <c r="C111" s="38"/>
      <c r="D111" s="38"/>
      <c r="E111" s="13"/>
      <c r="F111" s="13"/>
      <c r="G111" s="67"/>
      <c r="H111" s="67"/>
      <c r="I111" s="67"/>
      <c r="J111" s="67"/>
      <c r="K111" s="38"/>
      <c r="L111" s="38"/>
      <c r="M111" s="66" t="str">
        <f aca="false">IF(OR($D111="",$F111=""),"",IF(COUNTIFS($D$7:$D111,$D111,$F$7:$F111,$F111)=1,1,0))</f>
        <v/>
      </c>
    </row>
    <row r="112" customFormat="false" ht="15" hidden="false" customHeight="true" outlineLevel="0" collapsed="false">
      <c r="A112" s="56"/>
      <c r="B112" s="56"/>
      <c r="C112" s="56"/>
      <c r="D112" s="56"/>
      <c r="E112" s="16"/>
      <c r="F112" s="16"/>
      <c r="G112" s="67"/>
      <c r="H112" s="67"/>
      <c r="I112" s="67"/>
      <c r="J112" s="67"/>
      <c r="K112" s="56"/>
      <c r="L112" s="56"/>
      <c r="M112" s="66" t="str">
        <f aca="false">IF(OR($D112="",$F112=""),"",IF(COUNTIFS($D$7:$D112,$D112,$F$7:$F112,$F112)=1,1,0))</f>
        <v/>
      </c>
    </row>
    <row r="113" customFormat="false" ht="15" hidden="false" customHeight="true" outlineLevel="0" collapsed="false">
      <c r="A113" s="38"/>
      <c r="B113" s="38"/>
      <c r="C113" s="38"/>
      <c r="D113" s="38"/>
      <c r="E113" s="13"/>
      <c r="F113" s="13"/>
      <c r="G113" s="67"/>
      <c r="H113" s="67"/>
      <c r="I113" s="67"/>
      <c r="J113" s="67"/>
      <c r="K113" s="38"/>
      <c r="L113" s="38"/>
      <c r="M113" s="66" t="str">
        <f aca="false">IF(OR($D113="",$F113=""),"",IF(COUNTIFS($D$7:$D113,$D113,$F$7:$F113,$F113)=1,1,0))</f>
        <v/>
      </c>
    </row>
    <row r="114" customFormat="false" ht="15" hidden="false" customHeight="true" outlineLevel="0" collapsed="false">
      <c r="A114" s="56"/>
      <c r="B114" s="56"/>
      <c r="C114" s="56"/>
      <c r="D114" s="56"/>
      <c r="E114" s="16"/>
      <c r="F114" s="16"/>
      <c r="G114" s="67"/>
      <c r="H114" s="67"/>
      <c r="I114" s="67"/>
      <c r="J114" s="67"/>
      <c r="K114" s="56"/>
      <c r="L114" s="56"/>
      <c r="M114" s="66" t="str">
        <f aca="false">IF(OR($D114="",$F114=""),"",IF(COUNTIFS($D$7:$D114,$D114,$F$7:$F114,$F114)=1,1,0))</f>
        <v/>
      </c>
    </row>
    <row r="115" customFormat="false" ht="15" hidden="false" customHeight="true" outlineLevel="0" collapsed="false">
      <c r="A115" s="38"/>
      <c r="B115" s="38"/>
      <c r="C115" s="38"/>
      <c r="D115" s="38"/>
      <c r="E115" s="13"/>
      <c r="F115" s="13"/>
      <c r="G115" s="67"/>
      <c r="H115" s="67"/>
      <c r="I115" s="67"/>
      <c r="J115" s="67"/>
      <c r="K115" s="38"/>
      <c r="L115" s="38"/>
      <c r="M115" s="66" t="str">
        <f aca="false">IF(OR($D115="",$F115=""),"",IF(COUNTIFS($D$7:$D115,$D115,$F$7:$F115,$F115)=1,1,0))</f>
        <v/>
      </c>
    </row>
    <row r="116" customFormat="false" ht="15" hidden="false" customHeight="true" outlineLevel="0" collapsed="false">
      <c r="A116" s="56"/>
      <c r="B116" s="56"/>
      <c r="C116" s="56"/>
      <c r="D116" s="56"/>
      <c r="E116" s="16"/>
      <c r="F116" s="16"/>
      <c r="G116" s="67"/>
      <c r="H116" s="67"/>
      <c r="I116" s="67"/>
      <c r="J116" s="67"/>
      <c r="K116" s="56"/>
      <c r="L116" s="56"/>
      <c r="M116" s="66" t="str">
        <f aca="false">IF(OR($D116="",$F116=""),"",IF(COUNTIFS($D$7:$D116,$D116,$F$7:$F116,$F116)=1,1,0))</f>
        <v/>
      </c>
    </row>
    <row r="117" customFormat="false" ht="15" hidden="false" customHeight="true" outlineLevel="0" collapsed="false">
      <c r="A117" s="38"/>
      <c r="B117" s="38"/>
      <c r="C117" s="38"/>
      <c r="D117" s="38"/>
      <c r="E117" s="13"/>
      <c r="F117" s="13"/>
      <c r="G117" s="67"/>
      <c r="H117" s="67"/>
      <c r="I117" s="67"/>
      <c r="J117" s="67"/>
      <c r="K117" s="38"/>
      <c r="L117" s="38"/>
      <c r="M117" s="66" t="str">
        <f aca="false">IF(OR($D117="",$F117=""),"",IF(COUNTIFS($D$7:$D117,$D117,$F$7:$F117,$F117)=1,1,0))</f>
        <v/>
      </c>
    </row>
    <row r="118" customFormat="false" ht="15" hidden="false" customHeight="true" outlineLevel="0" collapsed="false">
      <c r="A118" s="56"/>
      <c r="B118" s="56"/>
      <c r="C118" s="56"/>
      <c r="D118" s="56"/>
      <c r="E118" s="16"/>
      <c r="F118" s="16"/>
      <c r="G118" s="67"/>
      <c r="H118" s="67"/>
      <c r="I118" s="67"/>
      <c r="J118" s="67"/>
      <c r="K118" s="56"/>
      <c r="L118" s="56"/>
      <c r="M118" s="66" t="str">
        <f aca="false">IF(OR($D118="",$F118=""),"",IF(COUNTIFS($D$7:$D118,$D118,$F$7:$F118,$F118)=1,1,0))</f>
        <v/>
      </c>
    </row>
    <row r="119" customFormat="false" ht="15" hidden="false" customHeight="true" outlineLevel="0" collapsed="false">
      <c r="A119" s="38"/>
      <c r="B119" s="38"/>
      <c r="C119" s="38"/>
      <c r="D119" s="38"/>
      <c r="E119" s="13"/>
      <c r="F119" s="13"/>
      <c r="G119" s="67"/>
      <c r="H119" s="67"/>
      <c r="I119" s="67"/>
      <c r="J119" s="67"/>
      <c r="K119" s="38"/>
      <c r="L119" s="38"/>
      <c r="M119" s="66" t="str">
        <f aca="false">IF(OR($D119="",$F119=""),"",IF(COUNTIFS($D$7:$D119,$D119,$F$7:$F119,$F119)=1,1,0))</f>
        <v/>
      </c>
    </row>
    <row r="120" customFormat="false" ht="15" hidden="false" customHeight="true" outlineLevel="0" collapsed="false">
      <c r="A120" s="56"/>
      <c r="B120" s="56"/>
      <c r="C120" s="56"/>
      <c r="D120" s="56"/>
      <c r="E120" s="16"/>
      <c r="F120" s="16"/>
      <c r="G120" s="67"/>
      <c r="H120" s="67"/>
      <c r="I120" s="67"/>
      <c r="J120" s="67"/>
      <c r="K120" s="56"/>
      <c r="L120" s="56"/>
      <c r="M120" s="66" t="str">
        <f aca="false">IF(OR($D120="",$F120=""),"",IF(COUNTIFS($D$7:$D120,$D120,$F$7:$F120,$F120)=1,1,0))</f>
        <v/>
      </c>
    </row>
    <row r="121" customFormat="false" ht="15" hidden="false" customHeight="true" outlineLevel="0" collapsed="false">
      <c r="A121" s="38"/>
      <c r="B121" s="38"/>
      <c r="C121" s="38"/>
      <c r="D121" s="38"/>
      <c r="E121" s="13"/>
      <c r="F121" s="13"/>
      <c r="G121" s="67"/>
      <c r="H121" s="67"/>
      <c r="I121" s="67"/>
      <c r="J121" s="67"/>
      <c r="K121" s="38"/>
      <c r="L121" s="38"/>
      <c r="M121" s="66" t="str">
        <f aca="false">IF(OR($D121="",$F121=""),"",IF(COUNTIFS($D$7:$D121,$D121,$F$7:$F121,$F121)=1,1,0))</f>
        <v/>
      </c>
    </row>
    <row r="122" customFormat="false" ht="15" hidden="false" customHeight="true" outlineLevel="0" collapsed="false">
      <c r="A122" s="56"/>
      <c r="B122" s="56"/>
      <c r="C122" s="56"/>
      <c r="D122" s="56"/>
      <c r="E122" s="16"/>
      <c r="F122" s="16"/>
      <c r="G122" s="67"/>
      <c r="H122" s="67"/>
      <c r="I122" s="67"/>
      <c r="J122" s="67"/>
      <c r="K122" s="56"/>
      <c r="L122" s="56"/>
      <c r="M122" s="66" t="str">
        <f aca="false">IF(OR($D122="",$F122=""),"",IF(COUNTIFS($D$7:$D122,$D122,$F$7:$F122,$F122)=1,1,0))</f>
        <v/>
      </c>
    </row>
    <row r="123" customFormat="false" ht="15" hidden="false" customHeight="true" outlineLevel="0" collapsed="false">
      <c r="A123" s="38"/>
      <c r="B123" s="38"/>
      <c r="C123" s="38"/>
      <c r="D123" s="38"/>
      <c r="E123" s="13"/>
      <c r="F123" s="13"/>
      <c r="G123" s="67"/>
      <c r="H123" s="67"/>
      <c r="I123" s="67"/>
      <c r="J123" s="67"/>
      <c r="K123" s="38"/>
      <c r="L123" s="38"/>
      <c r="M123" s="66" t="str">
        <f aca="false">IF(OR($D123="",$F123=""),"",IF(COUNTIFS($D$7:$D123,$D123,$F$7:$F123,$F123)=1,1,0))</f>
        <v/>
      </c>
    </row>
    <row r="124" customFormat="false" ht="15" hidden="false" customHeight="true" outlineLevel="0" collapsed="false">
      <c r="A124" s="56"/>
      <c r="B124" s="56"/>
      <c r="C124" s="56"/>
      <c r="D124" s="56"/>
      <c r="E124" s="16"/>
      <c r="F124" s="16"/>
      <c r="G124" s="67"/>
      <c r="H124" s="67"/>
      <c r="I124" s="67"/>
      <c r="J124" s="67"/>
      <c r="K124" s="56"/>
      <c r="L124" s="56"/>
      <c r="M124" s="66" t="str">
        <f aca="false">IF(OR($D124="",$F124=""),"",IF(COUNTIFS($D$7:$D124,$D124,$F$7:$F124,$F124)=1,1,0))</f>
        <v/>
      </c>
    </row>
    <row r="125" customFormat="false" ht="15" hidden="false" customHeight="true" outlineLevel="0" collapsed="false">
      <c r="A125" s="38"/>
      <c r="B125" s="38"/>
      <c r="C125" s="38"/>
      <c r="D125" s="38"/>
      <c r="E125" s="13"/>
      <c r="F125" s="13"/>
      <c r="G125" s="67"/>
      <c r="H125" s="67"/>
      <c r="I125" s="67"/>
      <c r="J125" s="67"/>
      <c r="K125" s="38"/>
      <c r="L125" s="38"/>
      <c r="M125" s="66" t="str">
        <f aca="false">IF(OR($D125="",$F125=""),"",IF(COUNTIFS($D$7:$D125,$D125,$F$7:$F125,$F125)=1,1,0))</f>
        <v/>
      </c>
    </row>
    <row r="126" customFormat="false" ht="15" hidden="false" customHeight="true" outlineLevel="0" collapsed="false">
      <c r="A126" s="56"/>
      <c r="B126" s="56"/>
      <c r="C126" s="56"/>
      <c r="D126" s="56"/>
      <c r="E126" s="16"/>
      <c r="F126" s="16"/>
      <c r="G126" s="67"/>
      <c r="H126" s="67"/>
      <c r="I126" s="67"/>
      <c r="J126" s="67"/>
      <c r="K126" s="56"/>
      <c r="L126" s="56"/>
      <c r="M126" s="66" t="str">
        <f aca="false">IF(OR($D126="",$F126=""),"",IF(COUNTIFS($D$7:$D126,$D126,$F$7:$F126,$F126)=1,1,0))</f>
        <v/>
      </c>
    </row>
    <row r="127" customFormat="false" ht="15" hidden="false" customHeight="true" outlineLevel="0" collapsed="false">
      <c r="A127" s="38"/>
      <c r="B127" s="38"/>
      <c r="C127" s="38"/>
      <c r="D127" s="38"/>
      <c r="E127" s="13"/>
      <c r="F127" s="13"/>
      <c r="G127" s="67"/>
      <c r="H127" s="67"/>
      <c r="I127" s="67"/>
      <c r="J127" s="67"/>
      <c r="K127" s="38"/>
      <c r="L127" s="38"/>
      <c r="M127" s="66" t="str">
        <f aca="false">IF(OR($D127="",$F127=""),"",IF(COUNTIFS($D$7:$D127,$D127,$F$7:$F127,$F127)=1,1,0))</f>
        <v/>
      </c>
    </row>
    <row r="128" customFormat="false" ht="15" hidden="false" customHeight="true" outlineLevel="0" collapsed="false">
      <c r="A128" s="56"/>
      <c r="B128" s="56"/>
      <c r="C128" s="56"/>
      <c r="D128" s="56"/>
      <c r="E128" s="16"/>
      <c r="F128" s="16"/>
      <c r="G128" s="67"/>
      <c r="H128" s="67"/>
      <c r="I128" s="67"/>
      <c r="J128" s="67"/>
      <c r="K128" s="56"/>
      <c r="L128" s="56"/>
      <c r="M128" s="66" t="str">
        <f aca="false">IF(OR($D128="",$F128=""),"",IF(COUNTIFS($D$7:$D128,$D128,$F$7:$F128,$F128)=1,1,0))</f>
        <v/>
      </c>
    </row>
    <row r="129" customFormat="false" ht="15" hidden="false" customHeight="true" outlineLevel="0" collapsed="false">
      <c r="A129" s="38"/>
      <c r="B129" s="38"/>
      <c r="C129" s="38"/>
      <c r="D129" s="38"/>
      <c r="E129" s="13"/>
      <c r="F129" s="13"/>
      <c r="G129" s="67"/>
      <c r="H129" s="67"/>
      <c r="I129" s="67"/>
      <c r="J129" s="67"/>
      <c r="K129" s="38"/>
      <c r="L129" s="38"/>
      <c r="M129" s="66" t="str">
        <f aca="false">IF(OR($D129="",$F129=""),"",IF(COUNTIFS($D$7:$D129,$D129,$F$7:$F129,$F129)=1,1,0))</f>
        <v/>
      </c>
    </row>
    <row r="130" customFormat="false" ht="15" hidden="false" customHeight="true" outlineLevel="0" collapsed="false">
      <c r="A130" s="56"/>
      <c r="B130" s="56"/>
      <c r="C130" s="56"/>
      <c r="D130" s="56"/>
      <c r="E130" s="16"/>
      <c r="F130" s="16"/>
      <c r="G130" s="67"/>
      <c r="H130" s="67"/>
      <c r="I130" s="67"/>
      <c r="J130" s="67"/>
      <c r="K130" s="56"/>
      <c r="L130" s="56"/>
      <c r="M130" s="66" t="str">
        <f aca="false">IF(OR($D130="",$F130=""),"",IF(COUNTIFS($D$7:$D130,$D130,$F$7:$F130,$F130)=1,1,0))</f>
        <v/>
      </c>
    </row>
    <row r="131" customFormat="false" ht="15" hidden="false" customHeight="true" outlineLevel="0" collapsed="false">
      <c r="A131" s="38"/>
      <c r="B131" s="38"/>
      <c r="C131" s="38"/>
      <c r="D131" s="38"/>
      <c r="E131" s="13"/>
      <c r="F131" s="13"/>
      <c r="G131" s="67"/>
      <c r="H131" s="67"/>
      <c r="I131" s="67"/>
      <c r="J131" s="67"/>
      <c r="K131" s="38"/>
      <c r="L131" s="38"/>
      <c r="M131" s="66" t="str">
        <f aca="false">IF(OR($D131="",$F131=""),"",IF(COUNTIFS($D$7:$D131,$D131,$F$7:$F131,$F131)=1,1,0))</f>
        <v/>
      </c>
    </row>
    <row r="132" customFormat="false" ht="15" hidden="false" customHeight="true" outlineLevel="0" collapsed="false">
      <c r="A132" s="56"/>
      <c r="B132" s="56"/>
      <c r="C132" s="56"/>
      <c r="D132" s="56"/>
      <c r="E132" s="16"/>
      <c r="F132" s="16"/>
      <c r="G132" s="67"/>
      <c r="H132" s="67"/>
      <c r="I132" s="67"/>
      <c r="J132" s="67"/>
      <c r="K132" s="56"/>
      <c r="L132" s="56"/>
      <c r="M132" s="66" t="str">
        <f aca="false">IF(OR($D132="",$F132=""),"",IF(COUNTIFS($D$7:$D132,$D132,$F$7:$F132,$F132)=1,1,0))</f>
        <v/>
      </c>
    </row>
    <row r="133" customFormat="false" ht="15" hidden="false" customHeight="true" outlineLevel="0" collapsed="false">
      <c r="A133" s="38"/>
      <c r="B133" s="38"/>
      <c r="C133" s="38"/>
      <c r="D133" s="38"/>
      <c r="E133" s="13"/>
      <c r="F133" s="13"/>
      <c r="G133" s="67"/>
      <c r="H133" s="67"/>
      <c r="I133" s="67"/>
      <c r="J133" s="67"/>
      <c r="K133" s="38"/>
      <c r="L133" s="38"/>
      <c r="M133" s="66" t="str">
        <f aca="false">IF(OR($D133="",$F133=""),"",IF(COUNTIFS($D$7:$D133,$D133,$F$7:$F133,$F133)=1,1,0))</f>
        <v/>
      </c>
    </row>
    <row r="134" customFormat="false" ht="15" hidden="false" customHeight="true" outlineLevel="0" collapsed="false">
      <c r="A134" s="56"/>
      <c r="B134" s="56"/>
      <c r="C134" s="56"/>
      <c r="D134" s="56"/>
      <c r="E134" s="16"/>
      <c r="F134" s="16"/>
      <c r="G134" s="67"/>
      <c r="H134" s="67"/>
      <c r="I134" s="67"/>
      <c r="J134" s="67"/>
      <c r="K134" s="56"/>
      <c r="L134" s="56"/>
      <c r="M134" s="66" t="str">
        <f aca="false">IF(OR($D134="",$F134=""),"",IF(COUNTIFS($D$7:$D134,$D134,$F$7:$F134,$F134)=1,1,0))</f>
        <v/>
      </c>
    </row>
    <row r="135" customFormat="false" ht="15" hidden="false" customHeight="true" outlineLevel="0" collapsed="false">
      <c r="A135" s="38"/>
      <c r="B135" s="38"/>
      <c r="C135" s="38"/>
      <c r="D135" s="38"/>
      <c r="E135" s="13"/>
      <c r="F135" s="13"/>
      <c r="G135" s="67"/>
      <c r="H135" s="67"/>
      <c r="I135" s="67"/>
      <c r="J135" s="67"/>
      <c r="K135" s="38"/>
      <c r="L135" s="38"/>
      <c r="M135" s="66" t="str">
        <f aca="false">IF(OR($D135="",$F135=""),"",IF(COUNTIFS($D$7:$D135,$D135,$F$7:$F135,$F135)=1,1,0))</f>
        <v/>
      </c>
    </row>
    <row r="136" customFormat="false" ht="15" hidden="false" customHeight="true" outlineLevel="0" collapsed="false">
      <c r="A136" s="56"/>
      <c r="B136" s="56"/>
      <c r="C136" s="56"/>
      <c r="D136" s="56"/>
      <c r="E136" s="16"/>
      <c r="F136" s="16"/>
      <c r="G136" s="67"/>
      <c r="H136" s="67"/>
      <c r="I136" s="67"/>
      <c r="J136" s="67"/>
      <c r="K136" s="56"/>
      <c r="L136" s="56"/>
      <c r="M136" s="66" t="str">
        <f aca="false">IF(OR($D136="",$F136=""),"",IF(COUNTIFS($D$7:$D136,$D136,$F$7:$F136,$F136)=1,1,0))</f>
        <v/>
      </c>
    </row>
    <row r="137" customFormat="false" ht="15" hidden="false" customHeight="true" outlineLevel="0" collapsed="false">
      <c r="A137" s="38"/>
      <c r="B137" s="38"/>
      <c r="C137" s="38"/>
      <c r="D137" s="38"/>
      <c r="E137" s="13"/>
      <c r="F137" s="13"/>
      <c r="G137" s="67"/>
      <c r="H137" s="67"/>
      <c r="I137" s="67"/>
      <c r="J137" s="67"/>
      <c r="K137" s="38"/>
      <c r="L137" s="38"/>
      <c r="M137" s="66" t="str">
        <f aca="false">IF(OR($D137="",$F137=""),"",IF(COUNTIFS($D$7:$D137,$D137,$F$7:$F137,$F137)=1,1,0))</f>
        <v/>
      </c>
    </row>
    <row r="138" customFormat="false" ht="15" hidden="false" customHeight="true" outlineLevel="0" collapsed="false">
      <c r="A138" s="56"/>
      <c r="B138" s="56"/>
      <c r="C138" s="56"/>
      <c r="D138" s="56"/>
      <c r="E138" s="16"/>
      <c r="F138" s="16"/>
      <c r="G138" s="67"/>
      <c r="H138" s="67"/>
      <c r="I138" s="67"/>
      <c r="J138" s="67"/>
      <c r="K138" s="56"/>
      <c r="L138" s="56"/>
      <c r="M138" s="66" t="str">
        <f aca="false">IF(OR($D138="",$F138=""),"",IF(COUNTIFS($D$7:$D138,$D138,$F$7:$F138,$F138)=1,1,0))</f>
        <v/>
      </c>
    </row>
    <row r="139" customFormat="false" ht="15" hidden="false" customHeight="true" outlineLevel="0" collapsed="false">
      <c r="A139" s="38"/>
      <c r="B139" s="38"/>
      <c r="C139" s="38"/>
      <c r="D139" s="38"/>
      <c r="E139" s="13"/>
      <c r="F139" s="13"/>
      <c r="G139" s="67"/>
      <c r="H139" s="67"/>
      <c r="I139" s="67"/>
      <c r="J139" s="67"/>
      <c r="K139" s="38"/>
      <c r="L139" s="38"/>
      <c r="M139" s="66" t="str">
        <f aca="false">IF(OR($D139="",$F139=""),"",IF(COUNTIFS($D$7:$D139,$D139,$F$7:$F139,$F139)=1,1,0))</f>
        <v/>
      </c>
    </row>
    <row r="140" customFormat="false" ht="15" hidden="false" customHeight="true" outlineLevel="0" collapsed="false">
      <c r="A140" s="56"/>
      <c r="B140" s="56"/>
      <c r="C140" s="56"/>
      <c r="D140" s="56"/>
      <c r="E140" s="16"/>
      <c r="F140" s="16"/>
      <c r="G140" s="67"/>
      <c r="H140" s="67"/>
      <c r="I140" s="67"/>
      <c r="J140" s="67"/>
      <c r="K140" s="56"/>
      <c r="L140" s="56"/>
      <c r="M140" s="66" t="str">
        <f aca="false">IF(OR($D140="",$F140=""),"",IF(COUNTIFS($D$7:$D140,$D140,$F$7:$F140,$F140)=1,1,0))</f>
        <v/>
      </c>
    </row>
    <row r="141" customFormat="false" ht="15" hidden="false" customHeight="true" outlineLevel="0" collapsed="false">
      <c r="A141" s="38"/>
      <c r="B141" s="38"/>
      <c r="C141" s="38"/>
      <c r="D141" s="38"/>
      <c r="E141" s="13"/>
      <c r="F141" s="13"/>
      <c r="G141" s="67"/>
      <c r="H141" s="67"/>
      <c r="I141" s="67"/>
      <c r="J141" s="67"/>
      <c r="K141" s="38"/>
      <c r="L141" s="38"/>
      <c r="M141" s="66" t="str">
        <f aca="false">IF(OR($D141="",$F141=""),"",IF(COUNTIFS($D$7:$D141,$D141,$F$7:$F141,$F141)=1,1,0))</f>
        <v/>
      </c>
    </row>
    <row r="142" customFormat="false" ht="15" hidden="false" customHeight="true" outlineLevel="0" collapsed="false">
      <c r="A142" s="56"/>
      <c r="B142" s="56"/>
      <c r="C142" s="56"/>
      <c r="D142" s="56"/>
      <c r="E142" s="16"/>
      <c r="F142" s="16"/>
      <c r="G142" s="67"/>
      <c r="H142" s="67"/>
      <c r="I142" s="67"/>
      <c r="J142" s="67"/>
      <c r="K142" s="56"/>
      <c r="L142" s="56"/>
      <c r="M142" s="66" t="str">
        <f aca="false">IF(OR($D142="",$F142=""),"",IF(COUNTIFS($D$7:$D142,$D142,$F$7:$F142,$F142)=1,1,0))</f>
        <v/>
      </c>
    </row>
    <row r="143" customFormat="false" ht="15" hidden="false" customHeight="true" outlineLevel="0" collapsed="false">
      <c r="A143" s="38"/>
      <c r="B143" s="38"/>
      <c r="C143" s="38"/>
      <c r="D143" s="38"/>
      <c r="E143" s="13"/>
      <c r="F143" s="13"/>
      <c r="G143" s="67"/>
      <c r="H143" s="67"/>
      <c r="I143" s="67"/>
      <c r="J143" s="67"/>
      <c r="K143" s="38"/>
      <c r="L143" s="38"/>
      <c r="M143" s="66" t="str">
        <f aca="false">IF(OR($D143="",$F143=""),"",IF(COUNTIFS($D$7:$D143,$D143,$F$7:$F143,$F143)=1,1,0))</f>
        <v/>
      </c>
    </row>
    <row r="144" customFormat="false" ht="15" hidden="false" customHeight="true" outlineLevel="0" collapsed="false">
      <c r="A144" s="56"/>
      <c r="B144" s="56"/>
      <c r="C144" s="56"/>
      <c r="D144" s="56"/>
      <c r="E144" s="16"/>
      <c r="F144" s="16"/>
      <c r="G144" s="67"/>
      <c r="H144" s="67"/>
      <c r="I144" s="67"/>
      <c r="J144" s="67"/>
      <c r="K144" s="56"/>
      <c r="L144" s="56"/>
      <c r="M144" s="66" t="str">
        <f aca="false">IF(OR($D144="",$F144=""),"",IF(COUNTIFS($D$7:$D144,$D144,$F$7:$F144,$F144)=1,1,0))</f>
        <v/>
      </c>
    </row>
    <row r="145" customFormat="false" ht="15" hidden="false" customHeight="true" outlineLevel="0" collapsed="false">
      <c r="A145" s="38"/>
      <c r="B145" s="38"/>
      <c r="C145" s="38"/>
      <c r="D145" s="38"/>
      <c r="E145" s="13"/>
      <c r="F145" s="13"/>
      <c r="G145" s="67"/>
      <c r="H145" s="67"/>
      <c r="I145" s="67"/>
      <c r="J145" s="67"/>
      <c r="K145" s="38"/>
      <c r="L145" s="38"/>
      <c r="M145" s="66" t="str">
        <f aca="false">IF(OR($D145="",$F145=""),"",IF(COUNTIFS($D$7:$D145,$D145,$F$7:$F145,$F145)=1,1,0))</f>
        <v/>
      </c>
    </row>
    <row r="146" customFormat="false" ht="15" hidden="false" customHeight="true" outlineLevel="0" collapsed="false">
      <c r="A146" s="56"/>
      <c r="B146" s="56"/>
      <c r="C146" s="56"/>
      <c r="D146" s="56"/>
      <c r="E146" s="16"/>
      <c r="F146" s="16"/>
      <c r="G146" s="67"/>
      <c r="H146" s="67"/>
      <c r="I146" s="67"/>
      <c r="J146" s="67"/>
      <c r="K146" s="56"/>
      <c r="L146" s="56"/>
      <c r="M146" s="66" t="str">
        <f aca="false">IF(OR($D146="",$F146=""),"",IF(COUNTIFS($D$7:$D146,$D146,$F$7:$F146,$F146)=1,1,0))</f>
        <v/>
      </c>
    </row>
    <row r="147" customFormat="false" ht="15" hidden="false" customHeight="true" outlineLevel="0" collapsed="false">
      <c r="A147" s="38"/>
      <c r="B147" s="38"/>
      <c r="C147" s="38"/>
      <c r="D147" s="38"/>
      <c r="E147" s="13"/>
      <c r="F147" s="13"/>
      <c r="G147" s="67"/>
      <c r="H147" s="67"/>
      <c r="I147" s="67"/>
      <c r="J147" s="67"/>
      <c r="K147" s="38"/>
      <c r="L147" s="38"/>
      <c r="M147" s="66" t="str">
        <f aca="false">IF(OR($D147="",$F147=""),"",IF(COUNTIFS($D$7:$D147,$D147,$F$7:$F147,$F147)=1,1,0))</f>
        <v/>
      </c>
    </row>
    <row r="148" customFormat="false" ht="15" hidden="false" customHeight="true" outlineLevel="0" collapsed="false">
      <c r="A148" s="56"/>
      <c r="B148" s="56"/>
      <c r="C148" s="56"/>
      <c r="D148" s="56"/>
      <c r="E148" s="16"/>
      <c r="F148" s="16"/>
      <c r="G148" s="67"/>
      <c r="H148" s="67"/>
      <c r="I148" s="67"/>
      <c r="J148" s="67"/>
      <c r="K148" s="56"/>
      <c r="L148" s="56"/>
      <c r="M148" s="66" t="str">
        <f aca="false">IF(OR($D148="",$F148=""),"",IF(COUNTIFS($D$7:$D148,$D148,$F$7:$F148,$F148)=1,1,0))</f>
        <v/>
      </c>
    </row>
    <row r="149" customFormat="false" ht="15" hidden="false" customHeight="true" outlineLevel="0" collapsed="false">
      <c r="A149" s="38"/>
      <c r="B149" s="38"/>
      <c r="C149" s="38"/>
      <c r="D149" s="38"/>
      <c r="E149" s="13"/>
      <c r="F149" s="13"/>
      <c r="G149" s="67"/>
      <c r="H149" s="67"/>
      <c r="I149" s="67"/>
      <c r="J149" s="67"/>
      <c r="K149" s="38"/>
      <c r="L149" s="38"/>
      <c r="M149" s="66" t="str">
        <f aca="false">IF(OR($D149="",$F149=""),"",IF(COUNTIFS($D$7:$D149,$D149,$F$7:$F149,$F149)=1,1,0))</f>
        <v/>
      </c>
    </row>
    <row r="150" customFormat="false" ht="15" hidden="false" customHeight="true" outlineLevel="0" collapsed="false">
      <c r="A150" s="56"/>
      <c r="B150" s="56"/>
      <c r="C150" s="56"/>
      <c r="D150" s="56"/>
      <c r="E150" s="16"/>
      <c r="F150" s="16"/>
      <c r="G150" s="67"/>
      <c r="H150" s="67"/>
      <c r="I150" s="67"/>
      <c r="J150" s="67"/>
      <c r="K150" s="56"/>
      <c r="L150" s="56"/>
      <c r="M150" s="66" t="str">
        <f aca="false">IF(OR($D150="",$F150=""),"",IF(COUNTIFS($D$7:$D150,$D150,$F$7:$F150,$F150)=1,1,0))</f>
        <v/>
      </c>
    </row>
    <row r="151" customFormat="false" ht="15" hidden="false" customHeight="true" outlineLevel="0" collapsed="false">
      <c r="A151" s="38"/>
      <c r="B151" s="38"/>
      <c r="C151" s="38"/>
      <c r="D151" s="38"/>
      <c r="E151" s="13"/>
      <c r="F151" s="13"/>
      <c r="G151" s="67"/>
      <c r="H151" s="67"/>
      <c r="I151" s="67"/>
      <c r="J151" s="67"/>
      <c r="K151" s="38"/>
      <c r="L151" s="38"/>
      <c r="M151" s="66" t="str">
        <f aca="false">IF(OR($D151="",$F151=""),"",IF(COUNTIFS($D$7:$D151,$D151,$F$7:$F151,$F151)=1,1,0))</f>
        <v/>
      </c>
    </row>
    <row r="152" customFormat="false" ht="15" hidden="false" customHeight="true" outlineLevel="0" collapsed="false">
      <c r="A152" s="56"/>
      <c r="B152" s="56"/>
      <c r="C152" s="56"/>
      <c r="D152" s="56"/>
      <c r="E152" s="16"/>
      <c r="F152" s="16"/>
      <c r="G152" s="67"/>
      <c r="H152" s="67"/>
      <c r="I152" s="67"/>
      <c r="J152" s="67"/>
      <c r="K152" s="56"/>
      <c r="L152" s="56"/>
      <c r="M152" s="66" t="str">
        <f aca="false">IF(OR($D152="",$F152=""),"",IF(COUNTIFS($D$7:$D152,$D152,$F$7:$F152,$F152)=1,1,0))</f>
        <v/>
      </c>
    </row>
    <row r="153" customFormat="false" ht="15" hidden="false" customHeight="true" outlineLevel="0" collapsed="false">
      <c r="A153" s="38"/>
      <c r="B153" s="38"/>
      <c r="C153" s="38"/>
      <c r="D153" s="38"/>
      <c r="E153" s="13"/>
      <c r="F153" s="13"/>
      <c r="G153" s="67"/>
      <c r="H153" s="67"/>
      <c r="I153" s="67"/>
      <c r="J153" s="67"/>
      <c r="K153" s="38"/>
      <c r="L153" s="38"/>
      <c r="M153" s="66" t="str">
        <f aca="false">IF(OR($D153="",$F153=""),"",IF(COUNTIFS($D$7:$D153,$D153,$F$7:$F153,$F153)=1,1,0))</f>
        <v/>
      </c>
    </row>
    <row r="154" customFormat="false" ht="15" hidden="false" customHeight="true" outlineLevel="0" collapsed="false">
      <c r="A154" s="56"/>
      <c r="B154" s="56"/>
      <c r="C154" s="56"/>
      <c r="D154" s="56"/>
      <c r="E154" s="16"/>
      <c r="F154" s="16"/>
      <c r="G154" s="67"/>
      <c r="H154" s="67"/>
      <c r="I154" s="67"/>
      <c r="J154" s="67"/>
      <c r="K154" s="56"/>
      <c r="L154" s="56"/>
      <c r="M154" s="66" t="str">
        <f aca="false">IF(OR($D154="",$F154=""),"",IF(COUNTIFS($D$7:$D154,$D154,$F$7:$F154,$F154)=1,1,0))</f>
        <v/>
      </c>
    </row>
    <row r="155" customFormat="false" ht="15" hidden="false" customHeight="true" outlineLevel="0" collapsed="false">
      <c r="A155" s="38"/>
      <c r="B155" s="38"/>
      <c r="C155" s="38"/>
      <c r="D155" s="38"/>
      <c r="E155" s="13"/>
      <c r="F155" s="13"/>
      <c r="G155" s="67"/>
      <c r="H155" s="67"/>
      <c r="I155" s="67"/>
      <c r="J155" s="67"/>
      <c r="K155" s="38"/>
      <c r="L155" s="38"/>
      <c r="M155" s="66" t="str">
        <f aca="false">IF(OR($D155="",$F155=""),"",IF(COUNTIFS($D$7:$D155,$D155,$F$7:$F155,$F155)=1,1,0))</f>
        <v/>
      </c>
    </row>
    <row r="156" customFormat="false" ht="15" hidden="false" customHeight="true" outlineLevel="0" collapsed="false">
      <c r="A156" s="56"/>
      <c r="B156" s="56"/>
      <c r="C156" s="56"/>
      <c r="D156" s="56"/>
      <c r="E156" s="16"/>
      <c r="F156" s="16"/>
      <c r="G156" s="67"/>
      <c r="H156" s="67"/>
      <c r="I156" s="67"/>
      <c r="J156" s="67"/>
      <c r="K156" s="56"/>
      <c r="L156" s="56"/>
      <c r="M156" s="66" t="str">
        <f aca="false">IF(OR($D156="",$F156=""),"",IF(COUNTIFS($D$7:$D156,$D156,$F$7:$F156,$F156)=1,1,0))</f>
        <v/>
      </c>
    </row>
    <row r="157" customFormat="false" ht="15" hidden="false" customHeight="true" outlineLevel="0" collapsed="false">
      <c r="A157" s="38"/>
      <c r="B157" s="38"/>
      <c r="C157" s="38"/>
      <c r="D157" s="38"/>
      <c r="E157" s="13"/>
      <c r="F157" s="13"/>
      <c r="G157" s="67"/>
      <c r="H157" s="67"/>
      <c r="I157" s="67"/>
      <c r="J157" s="67"/>
      <c r="K157" s="38"/>
      <c r="L157" s="38"/>
      <c r="M157" s="66" t="str">
        <f aca="false">IF(OR($D157="",$F157=""),"",IF(COUNTIFS($D$7:$D157,$D157,$F$7:$F157,$F157)=1,1,0))</f>
        <v/>
      </c>
    </row>
    <row r="158" customFormat="false" ht="15" hidden="false" customHeight="true" outlineLevel="0" collapsed="false">
      <c r="A158" s="56"/>
      <c r="B158" s="56"/>
      <c r="C158" s="56"/>
      <c r="D158" s="56"/>
      <c r="E158" s="16"/>
      <c r="F158" s="16"/>
      <c r="G158" s="67"/>
      <c r="H158" s="67"/>
      <c r="I158" s="67"/>
      <c r="J158" s="67"/>
      <c r="K158" s="56"/>
      <c r="L158" s="56"/>
      <c r="M158" s="66" t="str">
        <f aca="false">IF(OR($D158="",$F158=""),"",IF(COUNTIFS($D$7:$D158,$D158,$F$7:$F158,$F158)=1,1,0))</f>
        <v/>
      </c>
    </row>
    <row r="159" customFormat="false" ht="15" hidden="false" customHeight="true" outlineLevel="0" collapsed="false">
      <c r="A159" s="38"/>
      <c r="B159" s="38"/>
      <c r="C159" s="38"/>
      <c r="D159" s="38"/>
      <c r="E159" s="13"/>
      <c r="F159" s="13"/>
      <c r="G159" s="67"/>
      <c r="H159" s="67"/>
      <c r="I159" s="67"/>
      <c r="J159" s="67"/>
      <c r="K159" s="38"/>
      <c r="L159" s="38"/>
      <c r="M159" s="66" t="str">
        <f aca="false">IF(OR($D159="",$F159=""),"",IF(COUNTIFS($D$7:$D159,$D159,$F$7:$F159,$F159)=1,1,0))</f>
        <v/>
      </c>
    </row>
    <row r="160" customFormat="false" ht="15" hidden="false" customHeight="true" outlineLevel="0" collapsed="false">
      <c r="A160" s="56"/>
      <c r="B160" s="56"/>
      <c r="C160" s="56"/>
      <c r="D160" s="56"/>
      <c r="E160" s="16"/>
      <c r="F160" s="16"/>
      <c r="G160" s="67"/>
      <c r="H160" s="67"/>
      <c r="I160" s="67"/>
      <c r="J160" s="67"/>
      <c r="K160" s="56"/>
      <c r="L160" s="56"/>
      <c r="M160" s="66" t="str">
        <f aca="false">IF(OR($D160="",$F160=""),"",IF(COUNTIFS($D$7:$D160,$D160,$F$7:$F160,$F160)=1,1,0))</f>
        <v/>
      </c>
    </row>
    <row r="161" customFormat="false" ht="15" hidden="false" customHeight="true" outlineLevel="0" collapsed="false">
      <c r="A161" s="38"/>
      <c r="B161" s="38"/>
      <c r="C161" s="38"/>
      <c r="D161" s="38"/>
      <c r="E161" s="13"/>
      <c r="F161" s="13"/>
      <c r="G161" s="67"/>
      <c r="H161" s="67"/>
      <c r="I161" s="67"/>
      <c r="J161" s="67"/>
      <c r="K161" s="38"/>
      <c r="L161" s="38"/>
      <c r="M161" s="66" t="str">
        <f aca="false">IF(OR($D161="",$F161=""),"",IF(COUNTIFS($D$7:$D161,$D161,$F$7:$F161,$F161)=1,1,0))</f>
        <v/>
      </c>
    </row>
    <row r="162" customFormat="false" ht="15" hidden="false" customHeight="true" outlineLevel="0" collapsed="false">
      <c r="A162" s="56"/>
      <c r="B162" s="56"/>
      <c r="C162" s="56"/>
      <c r="D162" s="56"/>
      <c r="E162" s="16"/>
      <c r="F162" s="16"/>
      <c r="G162" s="67"/>
      <c r="H162" s="67"/>
      <c r="I162" s="67"/>
      <c r="J162" s="67"/>
      <c r="K162" s="56"/>
      <c r="L162" s="56"/>
      <c r="M162" s="66" t="str">
        <f aca="false">IF(OR($D162="",$F162=""),"",IF(COUNTIFS($D$7:$D162,$D162,$F$7:$F162,$F162)=1,1,0))</f>
        <v/>
      </c>
    </row>
    <row r="163" customFormat="false" ht="15" hidden="false" customHeight="true" outlineLevel="0" collapsed="false">
      <c r="A163" s="38"/>
      <c r="B163" s="38"/>
      <c r="C163" s="38"/>
      <c r="D163" s="38"/>
      <c r="E163" s="13"/>
      <c r="F163" s="13"/>
      <c r="G163" s="67"/>
      <c r="H163" s="67"/>
      <c r="I163" s="67"/>
      <c r="J163" s="67"/>
      <c r="K163" s="38"/>
      <c r="L163" s="38"/>
      <c r="M163" s="66" t="str">
        <f aca="false">IF(OR($D163="",$F163=""),"",IF(COUNTIFS($D$7:$D163,$D163,$F$7:$F163,$F163)=1,1,0))</f>
        <v/>
      </c>
    </row>
    <row r="164" customFormat="false" ht="15" hidden="false" customHeight="true" outlineLevel="0" collapsed="false">
      <c r="A164" s="56"/>
      <c r="B164" s="56"/>
      <c r="C164" s="56"/>
      <c r="D164" s="56"/>
      <c r="E164" s="16"/>
      <c r="F164" s="16"/>
      <c r="G164" s="67"/>
      <c r="H164" s="67"/>
      <c r="I164" s="67"/>
      <c r="J164" s="67"/>
      <c r="K164" s="56"/>
      <c r="L164" s="56"/>
      <c r="M164" s="66" t="str">
        <f aca="false">IF(OR($D164="",$F164=""),"",IF(COUNTIFS($D$7:$D164,$D164,$F$7:$F164,$F164)=1,1,0))</f>
        <v/>
      </c>
    </row>
    <row r="165" customFormat="false" ht="15" hidden="false" customHeight="true" outlineLevel="0" collapsed="false">
      <c r="A165" s="38"/>
      <c r="B165" s="38"/>
      <c r="C165" s="38"/>
      <c r="D165" s="38"/>
      <c r="E165" s="13"/>
      <c r="F165" s="13"/>
      <c r="G165" s="67"/>
      <c r="H165" s="67"/>
      <c r="I165" s="67"/>
      <c r="J165" s="67"/>
      <c r="K165" s="38"/>
      <c r="L165" s="38"/>
      <c r="M165" s="66" t="str">
        <f aca="false">IF(OR($D165="",$F165=""),"",IF(COUNTIFS($D$7:$D165,$D165,$F$7:$F165,$F165)=1,1,0))</f>
        <v/>
      </c>
    </row>
    <row r="166" customFormat="false" ht="15" hidden="false" customHeight="true" outlineLevel="0" collapsed="false">
      <c r="A166" s="56"/>
      <c r="B166" s="56"/>
      <c r="C166" s="56"/>
      <c r="D166" s="56"/>
      <c r="E166" s="16"/>
      <c r="F166" s="16"/>
      <c r="G166" s="67"/>
      <c r="H166" s="67"/>
      <c r="I166" s="67"/>
      <c r="J166" s="67"/>
      <c r="K166" s="56"/>
      <c r="L166" s="56"/>
      <c r="M166" s="66" t="str">
        <f aca="false">IF(OR($D166="",$F166=""),"",IF(COUNTIFS($D$7:$D166,$D166,$F$7:$F166,$F166)=1,1,0))</f>
        <v/>
      </c>
    </row>
    <row r="167" customFormat="false" ht="15" hidden="false" customHeight="true" outlineLevel="0" collapsed="false">
      <c r="A167" s="38"/>
      <c r="B167" s="38"/>
      <c r="C167" s="38"/>
      <c r="D167" s="38"/>
      <c r="E167" s="13"/>
      <c r="F167" s="13"/>
      <c r="G167" s="67"/>
      <c r="H167" s="67"/>
      <c r="I167" s="67"/>
      <c r="J167" s="67"/>
      <c r="K167" s="38"/>
      <c r="L167" s="38"/>
      <c r="M167" s="66" t="str">
        <f aca="false">IF(OR($D167="",$F167=""),"",IF(COUNTIFS($D$7:$D167,$D167,$F$7:$F167,$F167)=1,1,0))</f>
        <v/>
      </c>
    </row>
    <row r="168" customFormat="false" ht="15" hidden="false" customHeight="true" outlineLevel="0" collapsed="false">
      <c r="A168" s="56"/>
      <c r="B168" s="56"/>
      <c r="C168" s="56"/>
      <c r="D168" s="56"/>
      <c r="E168" s="16"/>
      <c r="F168" s="16"/>
      <c r="G168" s="67"/>
      <c r="H168" s="67"/>
      <c r="I168" s="67"/>
      <c r="J168" s="67"/>
      <c r="K168" s="56"/>
      <c r="L168" s="56"/>
      <c r="M168" s="66" t="str">
        <f aca="false">IF(OR($D168="",$F168=""),"",IF(COUNTIFS($D$7:$D168,$D168,$F$7:$F168,$F168)=1,1,0))</f>
        <v/>
      </c>
    </row>
    <row r="169" customFormat="false" ht="15" hidden="false" customHeight="true" outlineLevel="0" collapsed="false">
      <c r="A169" s="38"/>
      <c r="B169" s="38"/>
      <c r="C169" s="38"/>
      <c r="D169" s="38"/>
      <c r="E169" s="13"/>
      <c r="F169" s="13"/>
      <c r="G169" s="67"/>
      <c r="H169" s="67"/>
      <c r="I169" s="67"/>
      <c r="J169" s="67"/>
      <c r="K169" s="38"/>
      <c r="L169" s="38"/>
      <c r="M169" s="66" t="str">
        <f aca="false">IF(OR($D169="",$F169=""),"",IF(COUNTIFS($D$7:$D169,$D169,$F$7:$F169,$F169)=1,1,0))</f>
        <v/>
      </c>
    </row>
    <row r="170" customFormat="false" ht="15" hidden="false" customHeight="true" outlineLevel="0" collapsed="false">
      <c r="A170" s="56"/>
      <c r="B170" s="56"/>
      <c r="C170" s="56"/>
      <c r="D170" s="56"/>
      <c r="E170" s="16"/>
      <c r="F170" s="16"/>
      <c r="G170" s="67"/>
      <c r="H170" s="67"/>
      <c r="I170" s="67"/>
      <c r="J170" s="67"/>
      <c r="K170" s="56"/>
      <c r="L170" s="56"/>
      <c r="M170" s="66" t="str">
        <f aca="false">IF(OR($D170="",$F170=""),"",IF(COUNTIFS($D$7:$D170,$D170,$F$7:$F170,$F170)=1,1,0))</f>
        <v/>
      </c>
    </row>
    <row r="171" customFormat="false" ht="15" hidden="false" customHeight="true" outlineLevel="0" collapsed="false">
      <c r="A171" s="38"/>
      <c r="B171" s="38"/>
      <c r="C171" s="38"/>
      <c r="D171" s="38"/>
      <c r="E171" s="13"/>
      <c r="F171" s="13"/>
      <c r="G171" s="67"/>
      <c r="H171" s="67"/>
      <c r="I171" s="67"/>
      <c r="J171" s="67"/>
      <c r="K171" s="38"/>
      <c r="L171" s="38"/>
      <c r="M171" s="66" t="str">
        <f aca="false">IF(OR($D171="",$F171=""),"",IF(COUNTIFS($D$7:$D171,$D171,$F$7:$F171,$F171)=1,1,0))</f>
        <v/>
      </c>
    </row>
    <row r="172" customFormat="false" ht="15" hidden="false" customHeight="true" outlineLevel="0" collapsed="false">
      <c r="A172" s="56"/>
      <c r="B172" s="56"/>
      <c r="C172" s="56"/>
      <c r="D172" s="56"/>
      <c r="E172" s="16"/>
      <c r="F172" s="16"/>
      <c r="G172" s="67"/>
      <c r="H172" s="67"/>
      <c r="I172" s="67"/>
      <c r="J172" s="67"/>
      <c r="K172" s="56"/>
      <c r="L172" s="56"/>
      <c r="M172" s="66" t="str">
        <f aca="false">IF(OR($D172="",$F172=""),"",IF(COUNTIFS($D$7:$D172,$D172,$F$7:$F172,$F172)=1,1,0))</f>
        <v/>
      </c>
    </row>
    <row r="173" customFormat="false" ht="15" hidden="false" customHeight="true" outlineLevel="0" collapsed="false">
      <c r="A173" s="38"/>
      <c r="B173" s="38"/>
      <c r="C173" s="38"/>
      <c r="D173" s="38"/>
      <c r="E173" s="13"/>
      <c r="F173" s="13"/>
      <c r="G173" s="67"/>
      <c r="H173" s="67"/>
      <c r="I173" s="67"/>
      <c r="J173" s="67"/>
      <c r="K173" s="38"/>
      <c r="L173" s="38"/>
      <c r="M173" s="66" t="str">
        <f aca="false">IF(OR($D173="",$F173=""),"",IF(COUNTIFS($D$7:$D173,$D173,$F$7:$F173,$F173)=1,1,0))</f>
        <v/>
      </c>
    </row>
    <row r="174" customFormat="false" ht="15" hidden="false" customHeight="true" outlineLevel="0" collapsed="false">
      <c r="A174" s="56"/>
      <c r="B174" s="56"/>
      <c r="C174" s="56"/>
      <c r="D174" s="56"/>
      <c r="E174" s="16"/>
      <c r="F174" s="16"/>
      <c r="G174" s="67"/>
      <c r="H174" s="67"/>
      <c r="I174" s="67"/>
      <c r="J174" s="67"/>
      <c r="K174" s="56"/>
      <c r="L174" s="56"/>
      <c r="M174" s="66" t="str">
        <f aca="false">IF(OR($D174="",$F174=""),"",IF(COUNTIFS($D$7:$D174,$D174,$F$7:$F174,$F174)=1,1,0))</f>
        <v/>
      </c>
    </row>
    <row r="175" customFormat="false" ht="15" hidden="false" customHeight="true" outlineLevel="0" collapsed="false">
      <c r="A175" s="38"/>
      <c r="B175" s="38"/>
      <c r="C175" s="38"/>
      <c r="D175" s="38"/>
      <c r="E175" s="13"/>
      <c r="F175" s="13"/>
      <c r="G175" s="67"/>
      <c r="H175" s="67"/>
      <c r="I175" s="67"/>
      <c r="J175" s="67"/>
      <c r="K175" s="38"/>
      <c r="L175" s="38"/>
      <c r="M175" s="66" t="str">
        <f aca="false">IF(OR($D175="",$F175=""),"",IF(COUNTIFS($D$7:$D175,$D175,$F$7:$F175,$F175)=1,1,0))</f>
        <v/>
      </c>
    </row>
    <row r="176" customFormat="false" ht="15" hidden="false" customHeight="true" outlineLevel="0" collapsed="false">
      <c r="A176" s="56"/>
      <c r="B176" s="56"/>
      <c r="C176" s="56"/>
      <c r="D176" s="56"/>
      <c r="E176" s="16"/>
      <c r="F176" s="16"/>
      <c r="G176" s="67"/>
      <c r="H176" s="67"/>
      <c r="I176" s="67"/>
      <c r="J176" s="67"/>
      <c r="K176" s="56"/>
      <c r="L176" s="56"/>
      <c r="M176" s="66" t="str">
        <f aca="false">IF(OR($D176="",$F176=""),"",IF(COUNTIFS($D$7:$D176,$D176,$F$7:$F176,$F176)=1,1,0))</f>
        <v/>
      </c>
    </row>
    <row r="177" customFormat="false" ht="15" hidden="false" customHeight="true" outlineLevel="0" collapsed="false">
      <c r="A177" s="38"/>
      <c r="B177" s="38"/>
      <c r="C177" s="38"/>
      <c r="D177" s="38"/>
      <c r="E177" s="13"/>
      <c r="F177" s="13"/>
      <c r="G177" s="67"/>
      <c r="H177" s="67"/>
      <c r="I177" s="67"/>
      <c r="J177" s="67"/>
      <c r="K177" s="38"/>
      <c r="L177" s="38"/>
      <c r="M177" s="66" t="str">
        <f aca="false">IF(OR($D177="",$F177=""),"",IF(COUNTIFS($D$7:$D177,$D177,$F$7:$F177,$F177)=1,1,0))</f>
        <v/>
      </c>
    </row>
    <row r="178" customFormat="false" ht="15" hidden="false" customHeight="true" outlineLevel="0" collapsed="false">
      <c r="A178" s="56"/>
      <c r="B178" s="56"/>
      <c r="C178" s="56"/>
      <c r="D178" s="56"/>
      <c r="E178" s="16"/>
      <c r="F178" s="16"/>
      <c r="G178" s="67"/>
      <c r="H178" s="67"/>
      <c r="I178" s="67"/>
      <c r="J178" s="67"/>
      <c r="K178" s="56"/>
      <c r="L178" s="56"/>
      <c r="M178" s="66" t="str">
        <f aca="false">IF(OR($D178="",$F178=""),"",IF(COUNTIFS($D$7:$D178,$D178,$F$7:$F178,$F178)=1,1,0))</f>
        <v/>
      </c>
    </row>
    <row r="179" customFormat="false" ht="15" hidden="false" customHeight="true" outlineLevel="0" collapsed="false">
      <c r="A179" s="38"/>
      <c r="B179" s="38"/>
      <c r="C179" s="38"/>
      <c r="D179" s="38"/>
      <c r="E179" s="13"/>
      <c r="F179" s="13"/>
      <c r="G179" s="67"/>
      <c r="H179" s="67"/>
      <c r="I179" s="67"/>
      <c r="J179" s="67"/>
      <c r="K179" s="38"/>
      <c r="L179" s="38"/>
      <c r="M179" s="66" t="str">
        <f aca="false">IF(OR($D179="",$F179=""),"",IF(COUNTIFS($D$7:$D179,$D179,$F$7:$F179,$F179)=1,1,0))</f>
        <v/>
      </c>
    </row>
    <row r="180" customFormat="false" ht="15" hidden="false" customHeight="true" outlineLevel="0" collapsed="false">
      <c r="A180" s="56"/>
      <c r="B180" s="56"/>
      <c r="C180" s="56"/>
      <c r="D180" s="56"/>
      <c r="E180" s="16"/>
      <c r="F180" s="16"/>
      <c r="G180" s="67"/>
      <c r="H180" s="67"/>
      <c r="I180" s="67"/>
      <c r="J180" s="67"/>
      <c r="K180" s="56"/>
      <c r="L180" s="56"/>
      <c r="M180" s="66" t="str">
        <f aca="false">IF(OR($D180="",$F180=""),"",IF(COUNTIFS($D$7:$D180,$D180,$F$7:$F180,$F180)=1,1,0))</f>
        <v/>
      </c>
    </row>
    <row r="181" customFormat="false" ht="15" hidden="false" customHeight="true" outlineLevel="0" collapsed="false">
      <c r="A181" s="38"/>
      <c r="B181" s="38"/>
      <c r="C181" s="38"/>
      <c r="D181" s="38"/>
      <c r="E181" s="13"/>
      <c r="F181" s="13"/>
      <c r="G181" s="67"/>
      <c r="H181" s="67"/>
      <c r="I181" s="67"/>
      <c r="J181" s="67"/>
      <c r="K181" s="38"/>
      <c r="L181" s="38"/>
      <c r="M181" s="66" t="str">
        <f aca="false">IF(OR($D181="",$F181=""),"",IF(COUNTIFS($D$7:$D181,$D181,$F$7:$F181,$F181)=1,1,0))</f>
        <v/>
      </c>
    </row>
    <row r="182" customFormat="false" ht="15" hidden="false" customHeight="true" outlineLevel="0" collapsed="false">
      <c r="A182" s="56"/>
      <c r="B182" s="56"/>
      <c r="C182" s="56"/>
      <c r="D182" s="56"/>
      <c r="E182" s="16"/>
      <c r="F182" s="16"/>
      <c r="G182" s="67"/>
      <c r="H182" s="67"/>
      <c r="I182" s="67"/>
      <c r="J182" s="67"/>
      <c r="K182" s="56"/>
      <c r="L182" s="56"/>
      <c r="M182" s="66" t="str">
        <f aca="false">IF(OR($D182="",$F182=""),"",IF(COUNTIFS($D$7:$D182,$D182,$F$7:$F182,$F182)=1,1,0))</f>
        <v/>
      </c>
    </row>
    <row r="183" customFormat="false" ht="15" hidden="false" customHeight="true" outlineLevel="0" collapsed="false">
      <c r="A183" s="38"/>
      <c r="B183" s="38"/>
      <c r="C183" s="38"/>
      <c r="D183" s="38"/>
      <c r="E183" s="13"/>
      <c r="F183" s="13"/>
      <c r="G183" s="67"/>
      <c r="H183" s="67"/>
      <c r="I183" s="67"/>
      <c r="J183" s="67"/>
      <c r="K183" s="38"/>
      <c r="L183" s="38"/>
      <c r="M183" s="66" t="str">
        <f aca="false">IF(OR($D183="",$F183=""),"",IF(COUNTIFS($D$7:$D183,$D183,$F$7:$F183,$F183)=1,1,0))</f>
        <v/>
      </c>
    </row>
    <row r="184" customFormat="false" ht="15" hidden="false" customHeight="true" outlineLevel="0" collapsed="false">
      <c r="A184" s="56"/>
      <c r="B184" s="56"/>
      <c r="C184" s="56"/>
      <c r="D184" s="56"/>
      <c r="E184" s="16"/>
      <c r="F184" s="16"/>
      <c r="G184" s="67"/>
      <c r="H184" s="67"/>
      <c r="I184" s="67"/>
      <c r="J184" s="67"/>
      <c r="K184" s="56"/>
      <c r="L184" s="56"/>
      <c r="M184" s="66" t="str">
        <f aca="false">IF(OR($D184="",$F184=""),"",IF(COUNTIFS($D$7:$D184,$D184,$F$7:$F184,$F184)=1,1,0))</f>
        <v/>
      </c>
    </row>
    <row r="185" customFormat="false" ht="15" hidden="false" customHeight="true" outlineLevel="0" collapsed="false">
      <c r="A185" s="38"/>
      <c r="B185" s="38"/>
      <c r="C185" s="38"/>
      <c r="D185" s="38"/>
      <c r="E185" s="13"/>
      <c r="F185" s="13"/>
      <c r="G185" s="67"/>
      <c r="H185" s="67"/>
      <c r="I185" s="67"/>
      <c r="J185" s="67"/>
      <c r="K185" s="38"/>
      <c r="L185" s="38"/>
      <c r="M185" s="66" t="str">
        <f aca="false">IF(OR($D185="",$F185=""),"",IF(COUNTIFS($D$7:$D185,$D185,$F$7:$F185,$F185)=1,1,0))</f>
        <v/>
      </c>
    </row>
    <row r="186" customFormat="false" ht="15" hidden="false" customHeight="true" outlineLevel="0" collapsed="false">
      <c r="A186" s="56"/>
      <c r="B186" s="56"/>
      <c r="C186" s="56"/>
      <c r="D186" s="56"/>
      <c r="E186" s="16"/>
      <c r="F186" s="16"/>
      <c r="G186" s="67"/>
      <c r="H186" s="67"/>
      <c r="I186" s="67"/>
      <c r="J186" s="67"/>
      <c r="K186" s="56"/>
      <c r="L186" s="56"/>
      <c r="M186" s="66" t="str">
        <f aca="false">IF(OR($D186="",$F186=""),"",IF(COUNTIFS($D$7:$D186,$D186,$F$7:$F186,$F186)=1,1,0))</f>
        <v/>
      </c>
    </row>
    <row r="187" customFormat="false" ht="15" hidden="false" customHeight="true" outlineLevel="0" collapsed="false">
      <c r="A187" s="38"/>
      <c r="B187" s="38"/>
      <c r="C187" s="38"/>
      <c r="D187" s="38"/>
      <c r="E187" s="13"/>
      <c r="F187" s="13"/>
      <c r="G187" s="67"/>
      <c r="H187" s="67"/>
      <c r="I187" s="67"/>
      <c r="J187" s="67"/>
      <c r="K187" s="38"/>
      <c r="L187" s="38"/>
      <c r="M187" s="66" t="str">
        <f aca="false">IF(OR($D187="",$F187=""),"",IF(COUNTIFS($D$7:$D187,$D187,$F$7:$F187,$F187)=1,1,0))</f>
        <v/>
      </c>
    </row>
    <row r="188" customFormat="false" ht="15" hidden="false" customHeight="true" outlineLevel="0" collapsed="false">
      <c r="A188" s="56"/>
      <c r="B188" s="56"/>
      <c r="C188" s="56"/>
      <c r="D188" s="56"/>
      <c r="E188" s="16"/>
      <c r="F188" s="16"/>
      <c r="G188" s="67"/>
      <c r="H188" s="67"/>
      <c r="I188" s="67"/>
      <c r="J188" s="67"/>
      <c r="K188" s="56"/>
      <c r="L188" s="56"/>
      <c r="M188" s="66" t="str">
        <f aca="false">IF(OR($D188="",$F188=""),"",IF(COUNTIFS($D$7:$D188,$D188,$F$7:$F188,$F188)=1,1,0))</f>
        <v/>
      </c>
    </row>
    <row r="189" customFormat="false" ht="15" hidden="false" customHeight="true" outlineLevel="0" collapsed="false">
      <c r="A189" s="38"/>
      <c r="B189" s="38"/>
      <c r="C189" s="38"/>
      <c r="D189" s="38"/>
      <c r="E189" s="13"/>
      <c r="F189" s="13"/>
      <c r="G189" s="67"/>
      <c r="H189" s="67"/>
      <c r="I189" s="67"/>
      <c r="J189" s="67"/>
      <c r="K189" s="38"/>
      <c r="L189" s="38"/>
      <c r="M189" s="66" t="str">
        <f aca="false">IF(OR($D189="",$F189=""),"",IF(COUNTIFS($D$7:$D189,$D189,$F$7:$F189,$F189)=1,1,0))</f>
        <v/>
      </c>
    </row>
    <row r="190" customFormat="false" ht="15" hidden="false" customHeight="true" outlineLevel="0" collapsed="false">
      <c r="A190" s="56"/>
      <c r="B190" s="56"/>
      <c r="C190" s="56"/>
      <c r="D190" s="56"/>
      <c r="E190" s="16"/>
      <c r="F190" s="16"/>
      <c r="G190" s="67"/>
      <c r="H190" s="67"/>
      <c r="I190" s="67"/>
      <c r="J190" s="67"/>
      <c r="K190" s="56"/>
      <c r="L190" s="56"/>
      <c r="M190" s="66" t="str">
        <f aca="false">IF(OR($D190="",$F190=""),"",IF(COUNTIFS($D$7:$D190,$D190,$F$7:$F190,$F190)=1,1,0))</f>
        <v/>
      </c>
    </row>
    <row r="191" customFormat="false" ht="15" hidden="false" customHeight="true" outlineLevel="0" collapsed="false">
      <c r="A191" s="38"/>
      <c r="B191" s="38"/>
      <c r="C191" s="38"/>
      <c r="D191" s="38"/>
      <c r="E191" s="13"/>
      <c r="F191" s="13"/>
      <c r="G191" s="67"/>
      <c r="H191" s="67"/>
      <c r="I191" s="67"/>
      <c r="J191" s="67"/>
      <c r="K191" s="38"/>
      <c r="L191" s="38"/>
      <c r="M191" s="66" t="str">
        <f aca="false">IF(OR($D191="",$F191=""),"",IF(COUNTIFS($D$7:$D191,$D191,$F$7:$F191,$F191)=1,1,0))</f>
        <v/>
      </c>
    </row>
    <row r="192" customFormat="false" ht="15" hidden="false" customHeight="true" outlineLevel="0" collapsed="false">
      <c r="A192" s="56"/>
      <c r="B192" s="56"/>
      <c r="C192" s="56"/>
      <c r="D192" s="56"/>
      <c r="E192" s="16"/>
      <c r="F192" s="16"/>
      <c r="G192" s="67"/>
      <c r="H192" s="67"/>
      <c r="I192" s="67"/>
      <c r="J192" s="67"/>
      <c r="K192" s="56"/>
      <c r="L192" s="56"/>
      <c r="M192" s="66" t="str">
        <f aca="false">IF(OR($D192="",$F192=""),"",IF(COUNTIFS($D$7:$D192,$D192,$F$7:$F192,$F192)=1,1,0))</f>
        <v/>
      </c>
    </row>
    <row r="193" customFormat="false" ht="15" hidden="false" customHeight="true" outlineLevel="0" collapsed="false">
      <c r="A193" s="38"/>
      <c r="B193" s="38"/>
      <c r="C193" s="38"/>
      <c r="D193" s="38"/>
      <c r="E193" s="13"/>
      <c r="F193" s="13"/>
      <c r="G193" s="67"/>
      <c r="H193" s="67"/>
      <c r="I193" s="67"/>
      <c r="J193" s="67"/>
      <c r="K193" s="38"/>
      <c r="L193" s="38"/>
      <c r="M193" s="66" t="str">
        <f aca="false">IF(OR($D193="",$F193=""),"",IF(COUNTIFS($D$7:$D193,$D193,$F$7:$F193,$F193)=1,1,0))</f>
        <v/>
      </c>
    </row>
    <row r="194" customFormat="false" ht="15" hidden="false" customHeight="true" outlineLevel="0" collapsed="false">
      <c r="A194" s="56"/>
      <c r="B194" s="56"/>
      <c r="C194" s="56"/>
      <c r="D194" s="56"/>
      <c r="E194" s="16"/>
      <c r="F194" s="16"/>
      <c r="G194" s="67"/>
      <c r="H194" s="67"/>
      <c r="I194" s="67"/>
      <c r="J194" s="67"/>
      <c r="K194" s="56"/>
      <c r="L194" s="56"/>
      <c r="M194" s="66" t="str">
        <f aca="false">IF(OR($D194="",$F194=""),"",IF(COUNTIFS($D$7:$D194,$D194,$F$7:$F194,$F194)=1,1,0))</f>
        <v/>
      </c>
    </row>
    <row r="195" customFormat="false" ht="15" hidden="false" customHeight="true" outlineLevel="0" collapsed="false">
      <c r="A195" s="38"/>
      <c r="B195" s="38"/>
      <c r="C195" s="38"/>
      <c r="D195" s="38"/>
      <c r="E195" s="13"/>
      <c r="F195" s="13"/>
      <c r="G195" s="67"/>
      <c r="H195" s="67"/>
      <c r="I195" s="67"/>
      <c r="J195" s="67"/>
      <c r="K195" s="38"/>
      <c r="L195" s="38"/>
      <c r="M195" s="66" t="str">
        <f aca="false">IF(OR($D195="",$F195=""),"",IF(COUNTIFS($D$7:$D195,$D195,$F$7:$F195,$F195)=1,1,0))</f>
        <v/>
      </c>
    </row>
    <row r="196" customFormat="false" ht="15" hidden="false" customHeight="true" outlineLevel="0" collapsed="false">
      <c r="A196" s="56"/>
      <c r="B196" s="56"/>
      <c r="C196" s="56"/>
      <c r="D196" s="56"/>
      <c r="E196" s="16"/>
      <c r="F196" s="16"/>
      <c r="G196" s="67"/>
      <c r="H196" s="67"/>
      <c r="I196" s="67"/>
      <c r="J196" s="67"/>
      <c r="K196" s="56"/>
      <c r="L196" s="56"/>
      <c r="M196" s="66" t="str">
        <f aca="false">IF(OR($D196="",$F196=""),"",IF(COUNTIFS($D$7:$D196,$D196,$F$7:$F196,$F196)=1,1,0))</f>
        <v/>
      </c>
    </row>
    <row r="197" customFormat="false" ht="15" hidden="false" customHeight="true" outlineLevel="0" collapsed="false">
      <c r="A197" s="38"/>
      <c r="B197" s="38"/>
      <c r="C197" s="38"/>
      <c r="D197" s="38"/>
      <c r="E197" s="13"/>
      <c r="F197" s="13"/>
      <c r="G197" s="67"/>
      <c r="H197" s="67"/>
      <c r="I197" s="67"/>
      <c r="J197" s="67"/>
      <c r="K197" s="38"/>
      <c r="L197" s="38"/>
      <c r="M197" s="66" t="str">
        <f aca="false">IF(OR($D197="",$F197=""),"",IF(COUNTIFS($D$7:$D197,$D197,$F$7:$F197,$F197)=1,1,0))</f>
        <v/>
      </c>
    </row>
    <row r="198" customFormat="false" ht="15" hidden="false" customHeight="true" outlineLevel="0" collapsed="false">
      <c r="A198" s="56"/>
      <c r="B198" s="56"/>
      <c r="C198" s="56"/>
      <c r="D198" s="56"/>
      <c r="E198" s="16"/>
      <c r="F198" s="16"/>
      <c r="G198" s="67"/>
      <c r="H198" s="67"/>
      <c r="I198" s="67"/>
      <c r="J198" s="67"/>
      <c r="K198" s="56"/>
      <c r="L198" s="56"/>
      <c r="M198" s="66" t="str">
        <f aca="false">IF(OR($D198="",$F198=""),"",IF(COUNTIFS($D$7:$D198,$D198,$F$7:$F198,$F198)=1,1,0))</f>
        <v/>
      </c>
    </row>
    <row r="199" customFormat="false" ht="15" hidden="false" customHeight="true" outlineLevel="0" collapsed="false">
      <c r="A199" s="38"/>
      <c r="B199" s="38"/>
      <c r="C199" s="38"/>
      <c r="D199" s="38"/>
      <c r="E199" s="13"/>
      <c r="F199" s="13"/>
      <c r="G199" s="67"/>
      <c r="H199" s="67"/>
      <c r="I199" s="67"/>
      <c r="J199" s="67"/>
      <c r="K199" s="38"/>
      <c r="L199" s="38"/>
      <c r="M199" s="66" t="str">
        <f aca="false">IF(OR($D199="",$F199=""),"",IF(COUNTIFS($D$7:$D199,$D199,$F$7:$F199,$F199)=1,1,0))</f>
        <v/>
      </c>
    </row>
    <row r="200" customFormat="false" ht="15" hidden="false" customHeight="true" outlineLevel="0" collapsed="false">
      <c r="A200" s="56"/>
      <c r="B200" s="56"/>
      <c r="C200" s="56"/>
      <c r="D200" s="56"/>
      <c r="E200" s="16"/>
      <c r="F200" s="16"/>
      <c r="G200" s="67"/>
      <c r="H200" s="67"/>
      <c r="I200" s="67"/>
      <c r="J200" s="67"/>
      <c r="K200" s="56"/>
      <c r="L200" s="56"/>
      <c r="M200" s="66" t="str">
        <f aca="false">IF(OR($D200="",$F200=""),"",IF(COUNTIFS($D$7:$D200,$D200,$F$7:$F200,$F200)=1,1,0))</f>
        <v/>
      </c>
    </row>
    <row r="201" customFormat="false" ht="15" hidden="false" customHeight="true" outlineLevel="0" collapsed="false">
      <c r="A201" s="38"/>
      <c r="B201" s="38"/>
      <c r="C201" s="38"/>
      <c r="D201" s="38"/>
      <c r="E201" s="13"/>
      <c r="F201" s="13"/>
      <c r="G201" s="67"/>
      <c r="H201" s="67"/>
      <c r="I201" s="67"/>
      <c r="J201" s="67"/>
      <c r="K201" s="38"/>
      <c r="L201" s="38"/>
      <c r="M201" s="66" t="str">
        <f aca="false">IF(OR($D201="",$F201=""),"",IF(COUNTIFS($D$7:$D201,$D201,$F$7:$F201,$F201)=1,1,0))</f>
        <v/>
      </c>
    </row>
    <row r="202" customFormat="false" ht="15" hidden="false" customHeight="true" outlineLevel="0" collapsed="false">
      <c r="A202" s="56"/>
      <c r="B202" s="56"/>
      <c r="C202" s="56"/>
      <c r="D202" s="56"/>
      <c r="E202" s="16"/>
      <c r="F202" s="16"/>
      <c r="G202" s="67"/>
      <c r="H202" s="67"/>
      <c r="I202" s="67"/>
      <c r="J202" s="67"/>
      <c r="K202" s="56"/>
      <c r="L202" s="56"/>
      <c r="M202" s="66" t="str">
        <f aca="false">IF(OR($D202="",$F202=""),"",IF(COUNTIFS($D$7:$D202,$D202,$F$7:$F202,$F202)=1,1,0))</f>
        <v/>
      </c>
    </row>
    <row r="203" customFormat="false" ht="15" hidden="false" customHeight="true" outlineLevel="0" collapsed="false">
      <c r="A203" s="38"/>
      <c r="B203" s="38"/>
      <c r="C203" s="38"/>
      <c r="D203" s="38"/>
      <c r="E203" s="13"/>
      <c r="F203" s="13"/>
      <c r="G203" s="67"/>
      <c r="H203" s="67"/>
      <c r="I203" s="67"/>
      <c r="J203" s="67"/>
      <c r="K203" s="38"/>
      <c r="L203" s="38"/>
      <c r="M203" s="66" t="str">
        <f aca="false">IF(OR($D203="",$F203=""),"",IF(COUNTIFS($D$7:$D203,$D203,$F$7:$F203,$F203)=1,1,0))</f>
        <v/>
      </c>
    </row>
    <row r="204" customFormat="false" ht="15" hidden="false" customHeight="true" outlineLevel="0" collapsed="false">
      <c r="A204" s="56"/>
      <c r="B204" s="56"/>
      <c r="C204" s="56"/>
      <c r="D204" s="56"/>
      <c r="E204" s="16"/>
      <c r="F204" s="16"/>
      <c r="G204" s="67"/>
      <c r="H204" s="67"/>
      <c r="I204" s="67"/>
      <c r="J204" s="67"/>
      <c r="K204" s="56"/>
      <c r="L204" s="56"/>
      <c r="M204" s="66" t="str">
        <f aca="false">IF(OR($D204="",$F204=""),"",IF(COUNTIFS($D$7:$D204,$D204,$F$7:$F204,$F204)=1,1,0))</f>
        <v/>
      </c>
    </row>
    <row r="205" customFormat="false" ht="15" hidden="false" customHeight="true" outlineLevel="0" collapsed="false">
      <c r="A205" s="38"/>
      <c r="B205" s="38"/>
      <c r="C205" s="38"/>
      <c r="D205" s="38"/>
      <c r="E205" s="13"/>
      <c r="F205" s="13"/>
      <c r="G205" s="67"/>
      <c r="H205" s="67"/>
      <c r="I205" s="67"/>
      <c r="J205" s="67"/>
      <c r="K205" s="38"/>
      <c r="L205" s="38"/>
      <c r="M205" s="66" t="str">
        <f aca="false">IF(OR($D205="",$F205=""),"",IF(COUNTIFS($D$7:$D205,$D205,$F$7:$F205,$F205)=1,1,0))</f>
        <v/>
      </c>
    </row>
    <row r="206" customFormat="false" ht="15" hidden="false" customHeight="true" outlineLevel="0" collapsed="false">
      <c r="A206" s="56"/>
      <c r="B206" s="56"/>
      <c r="C206" s="56"/>
      <c r="D206" s="56"/>
      <c r="E206" s="16"/>
      <c r="F206" s="16"/>
      <c r="G206" s="67"/>
      <c r="H206" s="67"/>
      <c r="I206" s="67"/>
      <c r="J206" s="67"/>
      <c r="K206" s="56"/>
      <c r="L206" s="56"/>
      <c r="M206" s="66" t="str">
        <f aca="false">IF(OR($D206="",$F206=""),"",IF(COUNTIFS($D$7:$D206,$D206,$F$7:$F206,$F206)=1,1,0))</f>
        <v/>
      </c>
    </row>
    <row r="207" customFormat="false" ht="15" hidden="false" customHeight="true" outlineLevel="0" collapsed="false">
      <c r="A207" s="38"/>
      <c r="B207" s="38"/>
      <c r="C207" s="38"/>
      <c r="D207" s="38"/>
      <c r="E207" s="13"/>
      <c r="F207" s="13"/>
      <c r="G207" s="67"/>
      <c r="H207" s="67"/>
      <c r="I207" s="67"/>
      <c r="J207" s="67"/>
      <c r="K207" s="38"/>
      <c r="L207" s="38"/>
      <c r="M207" s="66" t="str">
        <f aca="false">IF(OR($D207="",$F207=""),"",IF(COUNTIFS($D$7:$D207,$D207,$F$7:$F207,$F207)=1,1,0))</f>
        <v/>
      </c>
    </row>
    <row r="208" customFormat="false" ht="15" hidden="false" customHeight="true" outlineLevel="0" collapsed="false">
      <c r="A208" s="56"/>
      <c r="B208" s="56"/>
      <c r="C208" s="56"/>
      <c r="D208" s="56"/>
      <c r="E208" s="16"/>
      <c r="F208" s="16"/>
      <c r="G208" s="67"/>
      <c r="H208" s="67"/>
      <c r="I208" s="67"/>
      <c r="J208" s="67"/>
      <c r="K208" s="56"/>
      <c r="L208" s="56"/>
      <c r="M208" s="66" t="str">
        <f aca="false">IF(OR($D208="",$F208=""),"",IF(COUNTIFS($D$7:$D208,$D208,$F$7:$F208,$F208)=1,1,0))</f>
        <v/>
      </c>
    </row>
    <row r="209" customFormat="false" ht="15" hidden="false" customHeight="true" outlineLevel="0" collapsed="false">
      <c r="A209" s="38"/>
      <c r="B209" s="38"/>
      <c r="C209" s="38"/>
      <c r="D209" s="38"/>
      <c r="E209" s="13"/>
      <c r="F209" s="13"/>
      <c r="G209" s="67"/>
      <c r="H209" s="67"/>
      <c r="I209" s="67"/>
      <c r="J209" s="67"/>
      <c r="K209" s="38"/>
      <c r="L209" s="38"/>
      <c r="M209" s="66" t="str">
        <f aca="false">IF(OR($D209="",$F209=""),"",IF(COUNTIFS($D$7:$D209,$D209,$F$7:$F209,$F209)=1,1,0))</f>
        <v/>
      </c>
    </row>
    <row r="210" customFormat="false" ht="15" hidden="false" customHeight="true" outlineLevel="0" collapsed="false">
      <c r="A210" s="56"/>
      <c r="B210" s="56"/>
      <c r="C210" s="56"/>
      <c r="D210" s="56"/>
      <c r="E210" s="16"/>
      <c r="F210" s="16"/>
      <c r="G210" s="67"/>
      <c r="H210" s="67"/>
      <c r="I210" s="67"/>
      <c r="J210" s="67"/>
      <c r="K210" s="56"/>
      <c r="L210" s="56"/>
      <c r="M210" s="66" t="str">
        <f aca="false">IF(OR($D210="",$F210=""),"",IF(COUNTIFS($D$7:$D210,$D210,$F$7:$F210,$F210)=1,1,0))</f>
        <v/>
      </c>
    </row>
    <row r="211" customFormat="false" ht="15" hidden="false" customHeight="true" outlineLevel="0" collapsed="false">
      <c r="A211" s="38"/>
      <c r="B211" s="38"/>
      <c r="C211" s="38"/>
      <c r="D211" s="38"/>
      <c r="E211" s="13"/>
      <c r="F211" s="13"/>
      <c r="G211" s="67"/>
      <c r="H211" s="67"/>
      <c r="I211" s="67"/>
      <c r="J211" s="67"/>
      <c r="K211" s="38"/>
      <c r="L211" s="38"/>
      <c r="M211" s="66" t="str">
        <f aca="false">IF(OR($D211="",$F211=""),"",IF(COUNTIFS($D$7:$D211,$D211,$F$7:$F211,$F211)=1,1,0))</f>
        <v/>
      </c>
    </row>
    <row r="212" customFormat="false" ht="15" hidden="false" customHeight="true" outlineLevel="0" collapsed="false">
      <c r="A212" s="56"/>
      <c r="B212" s="56"/>
      <c r="C212" s="56"/>
      <c r="D212" s="56"/>
      <c r="E212" s="16"/>
      <c r="F212" s="16"/>
      <c r="G212" s="67"/>
      <c r="H212" s="67"/>
      <c r="I212" s="67"/>
      <c r="J212" s="67"/>
      <c r="K212" s="56"/>
      <c r="L212" s="56"/>
      <c r="M212" s="66" t="str">
        <f aca="false">IF(OR($D212="",$F212=""),"",IF(COUNTIFS($D$7:$D212,$D212,$F$7:$F212,$F212)=1,1,0))</f>
        <v/>
      </c>
    </row>
    <row r="213" customFormat="false" ht="15" hidden="false" customHeight="true" outlineLevel="0" collapsed="false">
      <c r="A213" s="38"/>
      <c r="B213" s="38"/>
      <c r="C213" s="38"/>
      <c r="D213" s="38"/>
      <c r="E213" s="13"/>
      <c r="F213" s="13"/>
      <c r="G213" s="67"/>
      <c r="H213" s="67"/>
      <c r="I213" s="67"/>
      <c r="J213" s="67"/>
      <c r="K213" s="38"/>
      <c r="L213" s="38"/>
      <c r="M213" s="66" t="str">
        <f aca="false">IF(OR($D213="",$F213=""),"",IF(COUNTIFS($D$7:$D213,$D213,$F$7:$F213,$F213)=1,1,0))</f>
        <v/>
      </c>
    </row>
    <row r="214" customFormat="false" ht="15" hidden="false" customHeight="true" outlineLevel="0" collapsed="false">
      <c r="A214" s="56"/>
      <c r="B214" s="56"/>
      <c r="C214" s="56"/>
      <c r="D214" s="56"/>
      <c r="E214" s="16"/>
      <c r="F214" s="16"/>
      <c r="G214" s="67"/>
      <c r="H214" s="67"/>
      <c r="I214" s="67"/>
      <c r="J214" s="67"/>
      <c r="K214" s="56"/>
      <c r="L214" s="56"/>
      <c r="M214" s="66" t="str">
        <f aca="false">IF(OR($D214="",$F214=""),"",IF(COUNTIFS($D$7:$D214,$D214,$F$7:$F214,$F214)=1,1,0))</f>
        <v/>
      </c>
    </row>
    <row r="215" customFormat="false" ht="15" hidden="false" customHeight="true" outlineLevel="0" collapsed="false">
      <c r="A215" s="38"/>
      <c r="B215" s="38"/>
      <c r="C215" s="38"/>
      <c r="D215" s="38"/>
      <c r="E215" s="13"/>
      <c r="F215" s="13"/>
      <c r="G215" s="67"/>
      <c r="H215" s="67"/>
      <c r="I215" s="67"/>
      <c r="J215" s="67"/>
      <c r="K215" s="38"/>
      <c r="L215" s="38"/>
      <c r="M215" s="66" t="str">
        <f aca="false">IF(OR($D215="",$F215=""),"",IF(COUNTIFS($D$7:$D215,$D215,$F$7:$F215,$F215)=1,1,0))</f>
        <v/>
      </c>
    </row>
    <row r="216" customFormat="false" ht="15" hidden="false" customHeight="true" outlineLevel="0" collapsed="false">
      <c r="A216" s="56"/>
      <c r="B216" s="56"/>
      <c r="C216" s="56"/>
      <c r="D216" s="56"/>
      <c r="E216" s="16"/>
      <c r="F216" s="16"/>
      <c r="G216" s="67"/>
      <c r="H216" s="67"/>
      <c r="I216" s="67"/>
      <c r="J216" s="67"/>
      <c r="K216" s="56"/>
      <c r="L216" s="56"/>
      <c r="M216" s="66" t="str">
        <f aca="false">IF(OR($D216="",$F216=""),"",IF(COUNTIFS($D$7:$D216,$D216,$F$7:$F216,$F216)=1,1,0))</f>
        <v/>
      </c>
    </row>
    <row r="217" customFormat="false" ht="15" hidden="false" customHeight="true" outlineLevel="0" collapsed="false">
      <c r="A217" s="38"/>
      <c r="B217" s="38"/>
      <c r="C217" s="38"/>
      <c r="D217" s="38"/>
      <c r="E217" s="13"/>
      <c r="F217" s="13"/>
      <c r="G217" s="67"/>
      <c r="H217" s="67"/>
      <c r="I217" s="67"/>
      <c r="J217" s="67"/>
      <c r="K217" s="38"/>
      <c r="L217" s="38"/>
      <c r="M217" s="66" t="str">
        <f aca="false">IF(OR($D217="",$F217=""),"",IF(COUNTIFS($D$7:$D217,$D217,$F$7:$F217,$F217)=1,1,0))</f>
        <v/>
      </c>
    </row>
    <row r="218" customFormat="false" ht="15" hidden="false" customHeight="true" outlineLevel="0" collapsed="false">
      <c r="A218" s="56"/>
      <c r="B218" s="56"/>
      <c r="C218" s="56"/>
      <c r="D218" s="56"/>
      <c r="E218" s="16"/>
      <c r="F218" s="16"/>
      <c r="G218" s="67"/>
      <c r="H218" s="67"/>
      <c r="I218" s="67"/>
      <c r="J218" s="67"/>
      <c r="K218" s="56"/>
      <c r="L218" s="56"/>
      <c r="M218" s="66" t="str">
        <f aca="false">IF(OR($D218="",$F218=""),"",IF(COUNTIFS($D$7:$D218,$D218,$F$7:$F218,$F218)=1,1,0))</f>
        <v/>
      </c>
    </row>
    <row r="219" customFormat="false" ht="15" hidden="false" customHeight="true" outlineLevel="0" collapsed="false">
      <c r="A219" s="38"/>
      <c r="B219" s="38"/>
      <c r="C219" s="38"/>
      <c r="D219" s="38"/>
      <c r="E219" s="13"/>
      <c r="F219" s="13"/>
      <c r="G219" s="67"/>
      <c r="H219" s="67"/>
      <c r="I219" s="67"/>
      <c r="J219" s="67"/>
      <c r="K219" s="38"/>
      <c r="L219" s="38"/>
      <c r="M219" s="66" t="str">
        <f aca="false">IF(OR($D219="",$F219=""),"",IF(COUNTIFS($D$7:$D219,$D219,$F$7:$F219,$F219)=1,1,0))</f>
        <v/>
      </c>
    </row>
    <row r="220" customFormat="false" ht="15" hidden="false" customHeight="true" outlineLevel="0" collapsed="false">
      <c r="A220" s="56"/>
      <c r="B220" s="56"/>
      <c r="C220" s="56"/>
      <c r="D220" s="56"/>
      <c r="E220" s="16"/>
      <c r="F220" s="16"/>
      <c r="G220" s="67"/>
      <c r="H220" s="67"/>
      <c r="I220" s="67"/>
      <c r="J220" s="67"/>
      <c r="K220" s="56"/>
      <c r="L220" s="56"/>
      <c r="M220" s="66" t="str">
        <f aca="false">IF(OR($D220="",$F220=""),"",IF(COUNTIFS($D$7:$D220,$D220,$F$7:$F220,$F220)=1,1,0))</f>
        <v/>
      </c>
    </row>
    <row r="221" customFormat="false" ht="15" hidden="false" customHeight="true" outlineLevel="0" collapsed="false">
      <c r="A221" s="38"/>
      <c r="B221" s="38"/>
      <c r="C221" s="38"/>
      <c r="D221" s="38"/>
      <c r="E221" s="13"/>
      <c r="F221" s="13"/>
      <c r="G221" s="67"/>
      <c r="H221" s="67"/>
      <c r="I221" s="67"/>
      <c r="J221" s="67"/>
      <c r="K221" s="38"/>
      <c r="L221" s="38"/>
      <c r="M221" s="66" t="str">
        <f aca="false">IF(OR($D221="",$F221=""),"",IF(COUNTIFS($D$7:$D221,$D221,$F$7:$F221,$F221)=1,1,0))</f>
        <v/>
      </c>
    </row>
    <row r="222" customFormat="false" ht="15" hidden="false" customHeight="true" outlineLevel="0" collapsed="false">
      <c r="A222" s="56"/>
      <c r="B222" s="56"/>
      <c r="C222" s="56"/>
      <c r="D222" s="56"/>
      <c r="E222" s="16"/>
      <c r="F222" s="16"/>
      <c r="G222" s="67"/>
      <c r="H222" s="67"/>
      <c r="I222" s="67"/>
      <c r="J222" s="67"/>
      <c r="K222" s="56"/>
      <c r="L222" s="56"/>
      <c r="M222" s="66" t="str">
        <f aca="false">IF(OR($D222="",$F222=""),"",IF(COUNTIFS($D$7:$D222,$D222,$F$7:$F222,$F222)=1,1,0))</f>
        <v/>
      </c>
    </row>
    <row r="223" customFormat="false" ht="15" hidden="false" customHeight="true" outlineLevel="0" collapsed="false">
      <c r="A223" s="38"/>
      <c r="B223" s="38"/>
      <c r="C223" s="38"/>
      <c r="D223" s="38"/>
      <c r="E223" s="13"/>
      <c r="F223" s="13"/>
      <c r="G223" s="67"/>
      <c r="H223" s="67"/>
      <c r="I223" s="67"/>
      <c r="J223" s="67"/>
      <c r="K223" s="38"/>
      <c r="L223" s="38"/>
      <c r="M223" s="66" t="str">
        <f aca="false">IF(OR($D223="",$F223=""),"",IF(COUNTIFS($D$7:$D223,$D223,$F$7:$F223,$F223)=1,1,0))</f>
        <v/>
      </c>
    </row>
    <row r="224" customFormat="false" ht="15" hidden="false" customHeight="true" outlineLevel="0" collapsed="false">
      <c r="A224" s="56"/>
      <c r="B224" s="56"/>
      <c r="C224" s="56"/>
      <c r="D224" s="56"/>
      <c r="E224" s="16"/>
      <c r="F224" s="16"/>
      <c r="G224" s="67"/>
      <c r="H224" s="67"/>
      <c r="I224" s="67"/>
      <c r="J224" s="67"/>
      <c r="K224" s="56"/>
      <c r="L224" s="56"/>
      <c r="M224" s="66" t="str">
        <f aca="false">IF(OR($D224="",$F224=""),"",IF(COUNTIFS($D$7:$D224,$D224,$F$7:$F224,$F224)=1,1,0))</f>
        <v/>
      </c>
    </row>
    <row r="225" customFormat="false" ht="15" hidden="false" customHeight="true" outlineLevel="0" collapsed="false">
      <c r="A225" s="38"/>
      <c r="B225" s="38"/>
      <c r="C225" s="38"/>
      <c r="D225" s="38"/>
      <c r="E225" s="13"/>
      <c r="F225" s="13"/>
      <c r="G225" s="67"/>
      <c r="H225" s="67"/>
      <c r="I225" s="67"/>
      <c r="J225" s="67"/>
      <c r="K225" s="38"/>
      <c r="L225" s="38"/>
      <c r="M225" s="66" t="str">
        <f aca="false">IF(OR($D225="",$F225=""),"",IF(COUNTIFS($D$7:$D225,$D225,$F$7:$F225,$F225)=1,1,0))</f>
        <v/>
      </c>
    </row>
    <row r="226" customFormat="false" ht="15" hidden="false" customHeight="true" outlineLevel="0" collapsed="false">
      <c r="A226" s="56"/>
      <c r="B226" s="56"/>
      <c r="C226" s="56"/>
      <c r="D226" s="56"/>
      <c r="E226" s="16"/>
      <c r="F226" s="16"/>
      <c r="G226" s="67"/>
      <c r="H226" s="67"/>
      <c r="I226" s="67"/>
      <c r="J226" s="67"/>
      <c r="K226" s="56"/>
      <c r="L226" s="56"/>
      <c r="M226" s="66" t="str">
        <f aca="false">IF(OR($D226="",$F226=""),"",IF(COUNTIFS($D$7:$D226,$D226,$F$7:$F226,$F226)=1,1,0))</f>
        <v/>
      </c>
    </row>
    <row r="227" customFormat="false" ht="15" hidden="false" customHeight="true" outlineLevel="0" collapsed="false">
      <c r="A227" s="38"/>
      <c r="B227" s="38"/>
      <c r="C227" s="38"/>
      <c r="D227" s="38"/>
      <c r="E227" s="13"/>
      <c r="F227" s="13"/>
      <c r="G227" s="67"/>
      <c r="H227" s="67"/>
      <c r="I227" s="67"/>
      <c r="J227" s="67"/>
      <c r="K227" s="38"/>
      <c r="L227" s="38"/>
      <c r="M227" s="66" t="str">
        <f aca="false">IF(OR($D227="",$F227=""),"",IF(COUNTIFS($D$7:$D227,$D227,$F$7:$F227,$F227)=1,1,0))</f>
        <v/>
      </c>
    </row>
    <row r="228" customFormat="false" ht="15" hidden="false" customHeight="true" outlineLevel="0" collapsed="false">
      <c r="A228" s="56"/>
      <c r="B228" s="56"/>
      <c r="C228" s="56"/>
      <c r="D228" s="56"/>
      <c r="E228" s="16"/>
      <c r="F228" s="16"/>
      <c r="G228" s="67"/>
      <c r="H228" s="67"/>
      <c r="I228" s="67"/>
      <c r="J228" s="67"/>
      <c r="K228" s="56"/>
      <c r="L228" s="56"/>
      <c r="M228" s="66" t="str">
        <f aca="false">IF(OR($D228="",$F228=""),"",IF(COUNTIFS($D$7:$D228,$D228,$F$7:$F228,$F228)=1,1,0))</f>
        <v/>
      </c>
    </row>
    <row r="229" customFormat="false" ht="15" hidden="false" customHeight="true" outlineLevel="0" collapsed="false">
      <c r="A229" s="38"/>
      <c r="B229" s="38"/>
      <c r="C229" s="38"/>
      <c r="D229" s="38"/>
      <c r="E229" s="13"/>
      <c r="F229" s="13"/>
      <c r="G229" s="67"/>
      <c r="H229" s="67"/>
      <c r="I229" s="67"/>
      <c r="J229" s="67"/>
      <c r="K229" s="38"/>
      <c r="L229" s="38"/>
      <c r="M229" s="66" t="str">
        <f aca="false">IF(OR($D229="",$F229=""),"",IF(COUNTIFS($D$7:$D229,$D229,$F$7:$F229,$F229)=1,1,0))</f>
        <v/>
      </c>
    </row>
    <row r="230" customFormat="false" ht="15" hidden="false" customHeight="true" outlineLevel="0" collapsed="false">
      <c r="A230" s="56"/>
      <c r="B230" s="56"/>
      <c r="C230" s="56"/>
      <c r="D230" s="56"/>
      <c r="E230" s="16"/>
      <c r="F230" s="16"/>
      <c r="G230" s="67"/>
      <c r="H230" s="67"/>
      <c r="I230" s="67"/>
      <c r="J230" s="67"/>
      <c r="K230" s="56"/>
      <c r="L230" s="56"/>
      <c r="M230" s="66" t="str">
        <f aca="false">IF(OR($D230="",$F230=""),"",IF(COUNTIFS($D$7:$D230,$D230,$F$7:$F230,$F230)=1,1,0))</f>
        <v/>
      </c>
    </row>
    <row r="231" customFormat="false" ht="15" hidden="false" customHeight="true" outlineLevel="0" collapsed="false">
      <c r="A231" s="38"/>
      <c r="B231" s="38"/>
      <c r="C231" s="38"/>
      <c r="D231" s="38"/>
      <c r="E231" s="13"/>
      <c r="F231" s="13"/>
      <c r="G231" s="67"/>
      <c r="H231" s="67"/>
      <c r="I231" s="67"/>
      <c r="J231" s="67"/>
      <c r="K231" s="38"/>
      <c r="L231" s="38"/>
      <c r="M231" s="66" t="str">
        <f aca="false">IF(OR($D231="",$F231=""),"",IF(COUNTIFS($D$7:$D231,$D231,$F$7:$F231,$F231)=1,1,0))</f>
        <v/>
      </c>
    </row>
    <row r="232" customFormat="false" ht="15" hidden="false" customHeight="true" outlineLevel="0" collapsed="false">
      <c r="A232" s="56"/>
      <c r="B232" s="56"/>
      <c r="C232" s="56"/>
      <c r="D232" s="56"/>
      <c r="E232" s="16"/>
      <c r="F232" s="16"/>
      <c r="G232" s="67"/>
      <c r="H232" s="67"/>
      <c r="I232" s="67"/>
      <c r="J232" s="67"/>
      <c r="K232" s="56"/>
      <c r="L232" s="56"/>
      <c r="M232" s="66" t="str">
        <f aca="false">IF(OR($D232="",$F232=""),"",IF(COUNTIFS($D$7:$D232,$D232,$F$7:$F232,$F232)=1,1,0))</f>
        <v/>
      </c>
    </row>
    <row r="233" customFormat="false" ht="15" hidden="false" customHeight="true" outlineLevel="0" collapsed="false">
      <c r="A233" s="38"/>
      <c r="B233" s="38"/>
      <c r="C233" s="38"/>
      <c r="D233" s="38"/>
      <c r="E233" s="13"/>
      <c r="F233" s="13"/>
      <c r="G233" s="67"/>
      <c r="H233" s="67"/>
      <c r="I233" s="67"/>
      <c r="J233" s="67"/>
      <c r="K233" s="38"/>
      <c r="L233" s="38"/>
      <c r="M233" s="66" t="str">
        <f aca="false">IF(OR($D233="",$F233=""),"",IF(COUNTIFS($D$7:$D233,$D233,$F$7:$F233,$F233)=1,1,0))</f>
        <v/>
      </c>
    </row>
    <row r="234" customFormat="false" ht="15" hidden="false" customHeight="true" outlineLevel="0" collapsed="false">
      <c r="A234" s="56"/>
      <c r="B234" s="56"/>
      <c r="C234" s="56"/>
      <c r="D234" s="56"/>
      <c r="E234" s="16"/>
      <c r="F234" s="16"/>
      <c r="G234" s="67"/>
      <c r="H234" s="67"/>
      <c r="I234" s="67"/>
      <c r="J234" s="67"/>
      <c r="K234" s="56"/>
      <c r="L234" s="56"/>
      <c r="M234" s="66" t="str">
        <f aca="false">IF(OR($D234="",$F234=""),"",IF(COUNTIFS($D$7:$D234,$D234,$F$7:$F234,$F234)=1,1,0))</f>
        <v/>
      </c>
    </row>
    <row r="235" customFormat="false" ht="15" hidden="false" customHeight="true" outlineLevel="0" collapsed="false">
      <c r="A235" s="38"/>
      <c r="B235" s="38"/>
      <c r="C235" s="38"/>
      <c r="D235" s="38"/>
      <c r="E235" s="13"/>
      <c r="F235" s="13"/>
      <c r="G235" s="67"/>
      <c r="H235" s="67"/>
      <c r="I235" s="67"/>
      <c r="J235" s="67"/>
      <c r="K235" s="38"/>
      <c r="L235" s="38"/>
      <c r="M235" s="66" t="str">
        <f aca="false">IF(OR($D235="",$F235=""),"",IF(COUNTIFS($D$7:$D235,$D235,$F$7:$F235,$F235)=1,1,0))</f>
        <v/>
      </c>
    </row>
    <row r="236" customFormat="false" ht="15" hidden="false" customHeight="true" outlineLevel="0" collapsed="false">
      <c r="A236" s="56"/>
      <c r="B236" s="56"/>
      <c r="C236" s="56"/>
      <c r="D236" s="56"/>
      <c r="E236" s="16"/>
      <c r="F236" s="16"/>
      <c r="G236" s="67"/>
      <c r="H236" s="67"/>
      <c r="I236" s="67"/>
      <c r="J236" s="67"/>
      <c r="K236" s="56"/>
      <c r="L236" s="56"/>
      <c r="M236" s="66" t="str">
        <f aca="false">IF(OR($D236="",$F236=""),"",IF(COUNTIFS($D$7:$D236,$D236,$F$7:$F236,$F236)=1,1,0))</f>
        <v/>
      </c>
    </row>
    <row r="237" customFormat="false" ht="15" hidden="false" customHeight="true" outlineLevel="0" collapsed="false">
      <c r="A237" s="38"/>
      <c r="B237" s="38"/>
      <c r="C237" s="38"/>
      <c r="D237" s="38"/>
      <c r="E237" s="13"/>
      <c r="F237" s="13"/>
      <c r="G237" s="67"/>
      <c r="H237" s="67"/>
      <c r="I237" s="67"/>
      <c r="J237" s="67"/>
      <c r="K237" s="38"/>
      <c r="L237" s="38"/>
      <c r="M237" s="66" t="str">
        <f aca="false">IF(OR($D237="",$F237=""),"",IF(COUNTIFS($D$7:$D237,$D237,$F$7:$F237,$F237)=1,1,0))</f>
        <v/>
      </c>
    </row>
    <row r="238" customFormat="false" ht="15" hidden="false" customHeight="true" outlineLevel="0" collapsed="false">
      <c r="A238" s="56"/>
      <c r="B238" s="56"/>
      <c r="C238" s="56"/>
      <c r="D238" s="56"/>
      <c r="E238" s="16"/>
      <c r="F238" s="16"/>
      <c r="G238" s="67"/>
      <c r="H238" s="67"/>
      <c r="I238" s="67"/>
      <c r="J238" s="67"/>
      <c r="K238" s="56"/>
      <c r="L238" s="56"/>
      <c r="M238" s="66" t="str">
        <f aca="false">IF(OR($D238="",$F238=""),"",IF(COUNTIFS($D$7:$D238,$D238,$F$7:$F238,$F238)=1,1,0))</f>
        <v/>
      </c>
    </row>
    <row r="239" customFormat="false" ht="15" hidden="false" customHeight="true" outlineLevel="0" collapsed="false">
      <c r="A239" s="38"/>
      <c r="B239" s="38"/>
      <c r="C239" s="38"/>
      <c r="D239" s="38"/>
      <c r="E239" s="13"/>
      <c r="F239" s="13"/>
      <c r="G239" s="67"/>
      <c r="H239" s="67"/>
      <c r="I239" s="67"/>
      <c r="J239" s="67"/>
      <c r="K239" s="38"/>
      <c r="L239" s="38"/>
      <c r="M239" s="66" t="str">
        <f aca="false">IF(OR($D239="",$F239=""),"",IF(COUNTIFS($D$7:$D239,$D239,$F$7:$F239,$F239)=1,1,0))</f>
        <v/>
      </c>
    </row>
    <row r="240" customFormat="false" ht="15" hidden="false" customHeight="true" outlineLevel="0" collapsed="false">
      <c r="A240" s="56"/>
      <c r="B240" s="56"/>
      <c r="C240" s="56"/>
      <c r="D240" s="56"/>
      <c r="E240" s="16"/>
      <c r="F240" s="16"/>
      <c r="G240" s="67"/>
      <c r="H240" s="67"/>
      <c r="I240" s="67"/>
      <c r="J240" s="67"/>
      <c r="K240" s="56"/>
      <c r="L240" s="56"/>
      <c r="M240" s="66" t="str">
        <f aca="false">IF(OR($D240="",$F240=""),"",IF(COUNTIFS($D$7:$D240,$D240,$F$7:$F240,$F240)=1,1,0))</f>
        <v/>
      </c>
    </row>
    <row r="241" customFormat="false" ht="15" hidden="false" customHeight="true" outlineLevel="0" collapsed="false">
      <c r="A241" s="38"/>
      <c r="B241" s="38"/>
      <c r="C241" s="38"/>
      <c r="D241" s="38"/>
      <c r="E241" s="13"/>
      <c r="F241" s="13"/>
      <c r="G241" s="67"/>
      <c r="H241" s="67"/>
      <c r="I241" s="67"/>
      <c r="J241" s="67"/>
      <c r="K241" s="38"/>
      <c r="L241" s="38"/>
      <c r="M241" s="66" t="str">
        <f aca="false">IF(OR($D241="",$F241=""),"",IF(COUNTIFS($D$7:$D241,$D241,$F$7:$F241,$F241)=1,1,0))</f>
        <v/>
      </c>
    </row>
    <row r="242" customFormat="false" ht="15" hidden="false" customHeight="true" outlineLevel="0" collapsed="false">
      <c r="A242" s="56"/>
      <c r="B242" s="56"/>
      <c r="C242" s="56"/>
      <c r="D242" s="56"/>
      <c r="E242" s="16"/>
      <c r="F242" s="16"/>
      <c r="G242" s="67"/>
      <c r="H242" s="67"/>
      <c r="I242" s="67"/>
      <c r="J242" s="67"/>
      <c r="K242" s="56"/>
      <c r="L242" s="56"/>
      <c r="M242" s="66" t="str">
        <f aca="false">IF(OR($D242="",$F242=""),"",IF(COUNTIFS($D$7:$D242,$D242,$F$7:$F242,$F242)=1,1,0))</f>
        <v/>
      </c>
    </row>
    <row r="243" customFormat="false" ht="15" hidden="false" customHeight="true" outlineLevel="0" collapsed="false">
      <c r="A243" s="38"/>
      <c r="B243" s="38"/>
      <c r="C243" s="38"/>
      <c r="D243" s="38"/>
      <c r="E243" s="13"/>
      <c r="F243" s="13"/>
      <c r="G243" s="67"/>
      <c r="H243" s="67"/>
      <c r="I243" s="67"/>
      <c r="J243" s="67"/>
      <c r="K243" s="38"/>
      <c r="L243" s="38"/>
      <c r="M243" s="66" t="str">
        <f aca="false">IF(OR($D243="",$F243=""),"",IF(COUNTIFS($D$7:$D243,$D243,$F$7:$F243,$F243)=1,1,0))</f>
        <v/>
      </c>
    </row>
    <row r="244" customFormat="false" ht="15" hidden="false" customHeight="true" outlineLevel="0" collapsed="false">
      <c r="A244" s="56"/>
      <c r="B244" s="56"/>
      <c r="C244" s="56"/>
      <c r="D244" s="56"/>
      <c r="E244" s="16"/>
      <c r="F244" s="16"/>
      <c r="G244" s="67"/>
      <c r="H244" s="67"/>
      <c r="I244" s="67"/>
      <c r="J244" s="67"/>
      <c r="K244" s="56"/>
      <c r="L244" s="56"/>
      <c r="M244" s="66" t="str">
        <f aca="false">IF(OR($D244="",$F244=""),"",IF(COUNTIFS($D$7:$D244,$D244,$F$7:$F244,$F244)=1,1,0))</f>
        <v/>
      </c>
    </row>
    <row r="245" customFormat="false" ht="15" hidden="false" customHeight="true" outlineLevel="0" collapsed="false">
      <c r="A245" s="38"/>
      <c r="B245" s="38"/>
      <c r="C245" s="38"/>
      <c r="D245" s="38"/>
      <c r="E245" s="13"/>
      <c r="F245" s="13"/>
      <c r="G245" s="67"/>
      <c r="H245" s="67"/>
      <c r="I245" s="67"/>
      <c r="J245" s="67"/>
      <c r="K245" s="38"/>
      <c r="L245" s="38"/>
      <c r="M245" s="66" t="str">
        <f aca="false">IF(OR($D245="",$F245=""),"",IF(COUNTIFS($D$7:$D245,$D245,$F$7:$F245,$F245)=1,1,0))</f>
        <v/>
      </c>
    </row>
    <row r="246" customFormat="false" ht="15" hidden="false" customHeight="true" outlineLevel="0" collapsed="false">
      <c r="A246" s="56"/>
      <c r="B246" s="56"/>
      <c r="C246" s="56"/>
      <c r="D246" s="56"/>
      <c r="E246" s="16"/>
      <c r="F246" s="16"/>
      <c r="G246" s="67"/>
      <c r="H246" s="67"/>
      <c r="I246" s="67"/>
      <c r="J246" s="67"/>
      <c r="K246" s="56"/>
      <c r="L246" s="56"/>
      <c r="M246" s="66" t="str">
        <f aca="false">IF(OR($D246="",$F246=""),"",IF(COUNTIFS($D$7:$D246,$D246,$F$7:$F246,$F246)=1,1,0))</f>
        <v/>
      </c>
    </row>
    <row r="247" customFormat="false" ht="15" hidden="false" customHeight="true" outlineLevel="0" collapsed="false">
      <c r="A247" s="38"/>
      <c r="B247" s="38"/>
      <c r="C247" s="38"/>
      <c r="D247" s="38"/>
      <c r="E247" s="13"/>
      <c r="F247" s="13"/>
      <c r="G247" s="67"/>
      <c r="H247" s="67"/>
      <c r="I247" s="67"/>
      <c r="J247" s="67"/>
      <c r="K247" s="38"/>
      <c r="L247" s="38"/>
      <c r="M247" s="66" t="str">
        <f aca="false">IF(OR($D247="",$F247=""),"",IF(COUNTIFS($D$7:$D247,$D247,$F$7:$F247,$F247)=1,1,0))</f>
        <v/>
      </c>
    </row>
    <row r="248" customFormat="false" ht="15" hidden="false" customHeight="true" outlineLevel="0" collapsed="false">
      <c r="A248" s="56"/>
      <c r="B248" s="56"/>
      <c r="C248" s="56"/>
      <c r="D248" s="56"/>
      <c r="E248" s="16"/>
      <c r="F248" s="16"/>
      <c r="G248" s="67"/>
      <c r="H248" s="67"/>
      <c r="I248" s="67"/>
      <c r="J248" s="67"/>
      <c r="K248" s="56"/>
      <c r="L248" s="56"/>
      <c r="M248" s="66" t="str">
        <f aca="false">IF(OR($D248="",$F248=""),"",IF(COUNTIFS($D$7:$D248,$D248,$F$7:$F248,$F248)=1,1,0))</f>
        <v/>
      </c>
    </row>
    <row r="249" customFormat="false" ht="15" hidden="false" customHeight="true" outlineLevel="0" collapsed="false">
      <c r="A249" s="38"/>
      <c r="B249" s="38"/>
      <c r="C249" s="38"/>
      <c r="D249" s="38"/>
      <c r="E249" s="13"/>
      <c r="F249" s="13"/>
      <c r="G249" s="67"/>
      <c r="H249" s="67"/>
      <c r="I249" s="67"/>
      <c r="J249" s="67"/>
      <c r="K249" s="38"/>
      <c r="L249" s="38"/>
      <c r="M249" s="66" t="str">
        <f aca="false">IF(OR($D249="",$F249=""),"",IF(COUNTIFS($D$7:$D249,$D249,$F$7:$F249,$F249)=1,1,0))</f>
        <v/>
      </c>
    </row>
    <row r="250" customFormat="false" ht="15" hidden="false" customHeight="true" outlineLevel="0" collapsed="false">
      <c r="A250" s="56"/>
      <c r="B250" s="56"/>
      <c r="C250" s="56"/>
      <c r="D250" s="56"/>
      <c r="E250" s="16"/>
      <c r="F250" s="16"/>
      <c r="G250" s="67"/>
      <c r="H250" s="67"/>
      <c r="I250" s="67"/>
      <c r="J250" s="67"/>
      <c r="K250" s="56"/>
      <c r="L250" s="56"/>
      <c r="M250" s="66" t="str">
        <f aca="false">IF(OR($D250="",$F250=""),"",IF(COUNTIFS($D$7:$D250,$D250,$F$7:$F250,$F250)=1,1,0))</f>
        <v/>
      </c>
    </row>
    <row r="251" customFormat="false" ht="15" hidden="false" customHeight="true" outlineLevel="0" collapsed="false">
      <c r="A251" s="38"/>
      <c r="B251" s="38"/>
      <c r="C251" s="38"/>
      <c r="D251" s="38"/>
      <c r="E251" s="13"/>
      <c r="F251" s="13"/>
      <c r="G251" s="67"/>
      <c r="H251" s="67"/>
      <c r="I251" s="67"/>
      <c r="J251" s="67"/>
      <c r="K251" s="38"/>
      <c r="L251" s="38"/>
      <c r="M251" s="66" t="str">
        <f aca="false">IF(OR($D251="",$F251=""),"",IF(COUNTIFS($D$7:$D251,$D251,$F$7:$F251,$F251)=1,1,0))</f>
        <v/>
      </c>
    </row>
    <row r="252" customFormat="false" ht="15" hidden="false" customHeight="true" outlineLevel="0" collapsed="false">
      <c r="A252" s="56"/>
      <c r="B252" s="56"/>
      <c r="C252" s="56"/>
      <c r="D252" s="56"/>
      <c r="E252" s="16"/>
      <c r="F252" s="16"/>
      <c r="G252" s="67"/>
      <c r="H252" s="67"/>
      <c r="I252" s="67"/>
      <c r="J252" s="67"/>
      <c r="K252" s="56"/>
      <c r="L252" s="56"/>
      <c r="M252" s="66" t="str">
        <f aca="false">IF(OR($D252="",$F252=""),"",IF(COUNTIFS($D$7:$D252,$D252,$F$7:$F252,$F252)=1,1,0))</f>
        <v/>
      </c>
    </row>
    <row r="253" customFormat="false" ht="15" hidden="false" customHeight="true" outlineLevel="0" collapsed="false">
      <c r="A253" s="38"/>
      <c r="B253" s="38"/>
      <c r="C253" s="38"/>
      <c r="D253" s="38"/>
      <c r="E253" s="13"/>
      <c r="F253" s="13"/>
      <c r="G253" s="67"/>
      <c r="H253" s="67"/>
      <c r="I253" s="67"/>
      <c r="J253" s="67"/>
      <c r="K253" s="38"/>
      <c r="L253" s="38"/>
      <c r="M253" s="66" t="str">
        <f aca="false">IF(OR($D253="",$F253=""),"",IF(COUNTIFS($D$7:$D253,$D253,$F$7:$F253,$F253)=1,1,0))</f>
        <v/>
      </c>
    </row>
    <row r="254" customFormat="false" ht="15" hidden="false" customHeight="true" outlineLevel="0" collapsed="false">
      <c r="A254" s="56"/>
      <c r="B254" s="56"/>
      <c r="C254" s="56"/>
      <c r="D254" s="56"/>
      <c r="E254" s="16"/>
      <c r="F254" s="16"/>
      <c r="G254" s="67"/>
      <c r="H254" s="67"/>
      <c r="I254" s="67"/>
      <c r="J254" s="67"/>
      <c r="K254" s="56"/>
      <c r="L254" s="56"/>
      <c r="M254" s="66" t="str">
        <f aca="false">IF(OR($D254="",$F254=""),"",IF(COUNTIFS($D$7:$D254,$D254,$F$7:$F254,$F254)=1,1,0))</f>
        <v/>
      </c>
    </row>
    <row r="255" customFormat="false" ht="15" hidden="false" customHeight="true" outlineLevel="0" collapsed="false">
      <c r="A255" s="38"/>
      <c r="B255" s="38"/>
      <c r="C255" s="38"/>
      <c r="D255" s="38"/>
      <c r="E255" s="13"/>
      <c r="F255" s="13"/>
      <c r="G255" s="67"/>
      <c r="H255" s="67"/>
      <c r="I255" s="67"/>
      <c r="J255" s="67"/>
      <c r="K255" s="38"/>
      <c r="L255" s="38"/>
      <c r="M255" s="66" t="str">
        <f aca="false">IF(OR($D255="",$F255=""),"",IF(COUNTIFS($D$7:$D255,$D255,$F$7:$F255,$F255)=1,1,0))</f>
        <v/>
      </c>
    </row>
    <row r="256" customFormat="false" ht="15" hidden="false" customHeight="true" outlineLevel="0" collapsed="false">
      <c r="A256" s="56"/>
      <c r="B256" s="56"/>
      <c r="C256" s="56"/>
      <c r="D256" s="56"/>
      <c r="E256" s="16"/>
      <c r="F256" s="16"/>
      <c r="G256" s="67"/>
      <c r="H256" s="67"/>
      <c r="I256" s="67"/>
      <c r="J256" s="67"/>
      <c r="K256" s="56"/>
      <c r="L256" s="56"/>
      <c r="M256" s="66" t="str">
        <f aca="false">IF(OR($D256="",$F256=""),"",IF(COUNTIFS($D$7:$D256,$D256,$F$7:$F256,$F256)=1,1,0))</f>
        <v/>
      </c>
    </row>
    <row r="257" customFormat="false" ht="15" hidden="false" customHeight="true" outlineLevel="0" collapsed="false">
      <c r="A257" s="38"/>
      <c r="B257" s="38"/>
      <c r="C257" s="38"/>
      <c r="D257" s="38"/>
      <c r="E257" s="13"/>
      <c r="F257" s="13"/>
      <c r="G257" s="67"/>
      <c r="H257" s="67"/>
      <c r="I257" s="67"/>
      <c r="J257" s="67"/>
      <c r="K257" s="38"/>
      <c r="L257" s="38"/>
      <c r="M257" s="66" t="str">
        <f aca="false">IF(OR($D257="",$F257=""),"",IF(COUNTIFS($D$7:$D257,$D257,$F$7:$F257,$F257)=1,1,0))</f>
        <v/>
      </c>
    </row>
    <row r="258" customFormat="false" ht="15" hidden="false" customHeight="true" outlineLevel="0" collapsed="false">
      <c r="A258" s="56"/>
      <c r="B258" s="56"/>
      <c r="C258" s="56"/>
      <c r="D258" s="56"/>
      <c r="E258" s="16"/>
      <c r="F258" s="16"/>
      <c r="G258" s="67"/>
      <c r="H258" s="67"/>
      <c r="I258" s="67"/>
      <c r="J258" s="67"/>
      <c r="K258" s="56"/>
      <c r="L258" s="56"/>
      <c r="M258" s="66" t="str">
        <f aca="false">IF(OR($D258="",$F258=""),"",IF(COUNTIFS($D$7:$D258,$D258,$F$7:$F258,$F258)=1,1,0))</f>
        <v/>
      </c>
    </row>
    <row r="259" customFormat="false" ht="15" hidden="false" customHeight="true" outlineLevel="0" collapsed="false">
      <c r="A259" s="38"/>
      <c r="B259" s="38"/>
      <c r="C259" s="38"/>
      <c r="D259" s="38"/>
      <c r="E259" s="13"/>
      <c r="F259" s="13"/>
      <c r="G259" s="67"/>
      <c r="H259" s="67"/>
      <c r="I259" s="67"/>
      <c r="J259" s="67"/>
      <c r="K259" s="38"/>
      <c r="L259" s="38"/>
      <c r="M259" s="66" t="str">
        <f aca="false">IF(OR($D259="",$F259=""),"",IF(COUNTIFS($D$7:$D259,$D259,$F$7:$F259,$F259)=1,1,0))</f>
        <v/>
      </c>
    </row>
    <row r="260" customFormat="false" ht="15" hidden="false" customHeight="true" outlineLevel="0" collapsed="false">
      <c r="A260" s="56"/>
      <c r="B260" s="56"/>
      <c r="C260" s="56"/>
      <c r="D260" s="56"/>
      <c r="E260" s="16"/>
      <c r="F260" s="16"/>
      <c r="G260" s="67"/>
      <c r="H260" s="67"/>
      <c r="I260" s="67"/>
      <c r="J260" s="67"/>
      <c r="K260" s="56"/>
      <c r="L260" s="56"/>
      <c r="M260" s="66" t="str">
        <f aca="false">IF(OR($D260="",$F260=""),"",IF(COUNTIFS($D$7:$D260,$D260,$F$7:$F260,$F260)=1,1,0))</f>
        <v/>
      </c>
    </row>
    <row r="261" customFormat="false" ht="15" hidden="false" customHeight="true" outlineLevel="0" collapsed="false">
      <c r="A261" s="38"/>
      <c r="B261" s="38"/>
      <c r="C261" s="38"/>
      <c r="D261" s="38"/>
      <c r="E261" s="13"/>
      <c r="F261" s="13"/>
      <c r="G261" s="67"/>
      <c r="H261" s="67"/>
      <c r="I261" s="67"/>
      <c r="J261" s="67"/>
      <c r="K261" s="38"/>
      <c r="L261" s="38"/>
      <c r="M261" s="66" t="str">
        <f aca="false">IF(OR($D261="",$F261=""),"",IF(COUNTIFS($D$7:$D261,$D261,$F$7:$F261,$F261)=1,1,0))</f>
        <v/>
      </c>
    </row>
    <row r="262" customFormat="false" ht="15" hidden="false" customHeight="true" outlineLevel="0" collapsed="false">
      <c r="A262" s="56"/>
      <c r="B262" s="56"/>
      <c r="C262" s="56"/>
      <c r="D262" s="56"/>
      <c r="E262" s="16"/>
      <c r="F262" s="16"/>
      <c r="G262" s="67"/>
      <c r="H262" s="67"/>
      <c r="I262" s="67"/>
      <c r="J262" s="67"/>
      <c r="K262" s="56"/>
      <c r="L262" s="56"/>
      <c r="M262" s="66" t="str">
        <f aca="false">IF(OR($D262="",$F262=""),"",IF(COUNTIFS($D$7:$D262,$D262,$F$7:$F262,$F262)=1,1,0))</f>
        <v/>
      </c>
    </row>
    <row r="263" customFormat="false" ht="15" hidden="false" customHeight="true" outlineLevel="0" collapsed="false">
      <c r="A263" s="38"/>
      <c r="B263" s="38"/>
      <c r="C263" s="38"/>
      <c r="D263" s="38"/>
      <c r="E263" s="13"/>
      <c r="F263" s="13"/>
      <c r="G263" s="67"/>
      <c r="H263" s="67"/>
      <c r="I263" s="67"/>
      <c r="J263" s="67"/>
      <c r="K263" s="38"/>
      <c r="L263" s="38"/>
      <c r="M263" s="66" t="str">
        <f aca="false">IF(OR($D263="",$F263=""),"",IF(COUNTIFS($D$7:$D263,$D263,$F$7:$F263,$F263)=1,1,0))</f>
        <v/>
      </c>
    </row>
    <row r="264" customFormat="false" ht="15" hidden="false" customHeight="true" outlineLevel="0" collapsed="false">
      <c r="A264" s="56"/>
      <c r="B264" s="56"/>
      <c r="C264" s="56"/>
      <c r="D264" s="56"/>
      <c r="E264" s="16"/>
      <c r="F264" s="16"/>
      <c r="G264" s="67"/>
      <c r="H264" s="67"/>
      <c r="I264" s="67"/>
      <c r="J264" s="67"/>
      <c r="K264" s="56"/>
      <c r="L264" s="56"/>
      <c r="M264" s="66" t="str">
        <f aca="false">IF(OR($D264="",$F264=""),"",IF(COUNTIFS($D$7:$D264,$D264,$F$7:$F264,$F264)=1,1,0))</f>
        <v/>
      </c>
    </row>
    <row r="265" customFormat="false" ht="15" hidden="false" customHeight="true" outlineLevel="0" collapsed="false">
      <c r="A265" s="38"/>
      <c r="B265" s="38"/>
      <c r="C265" s="38"/>
      <c r="D265" s="38"/>
      <c r="E265" s="13"/>
      <c r="F265" s="13"/>
      <c r="G265" s="67"/>
      <c r="H265" s="67"/>
      <c r="I265" s="67"/>
      <c r="J265" s="67"/>
      <c r="K265" s="38"/>
      <c r="L265" s="38"/>
      <c r="M265" s="66" t="str">
        <f aca="false">IF(OR($D265="",$F265=""),"",IF(COUNTIFS($D$7:$D265,$D265,$F$7:$F265,$F265)=1,1,0))</f>
        <v/>
      </c>
    </row>
    <row r="266" customFormat="false" ht="15" hidden="false" customHeight="true" outlineLevel="0" collapsed="false">
      <c r="A266" s="56"/>
      <c r="B266" s="56"/>
      <c r="C266" s="56"/>
      <c r="D266" s="56"/>
      <c r="E266" s="16"/>
      <c r="F266" s="16"/>
      <c r="G266" s="67"/>
      <c r="H266" s="67"/>
      <c r="I266" s="67"/>
      <c r="J266" s="67"/>
      <c r="K266" s="56"/>
      <c r="L266" s="56"/>
      <c r="M266" s="66" t="str">
        <f aca="false">IF(OR($D266="",$F266=""),"",IF(COUNTIFS($D$7:$D266,$D266,$F$7:$F266,$F266)=1,1,0))</f>
        <v/>
      </c>
    </row>
    <row r="267" customFormat="false" ht="15" hidden="false" customHeight="true" outlineLevel="0" collapsed="false">
      <c r="A267" s="38"/>
      <c r="B267" s="38"/>
      <c r="C267" s="38"/>
      <c r="D267" s="38"/>
      <c r="E267" s="13"/>
      <c r="F267" s="13"/>
      <c r="G267" s="67"/>
      <c r="H267" s="67"/>
      <c r="I267" s="67"/>
      <c r="J267" s="67"/>
      <c r="K267" s="38"/>
      <c r="L267" s="38"/>
      <c r="M267" s="66" t="str">
        <f aca="false">IF(OR($D267="",$F267=""),"",IF(COUNTIFS($D$7:$D267,$D267,$F$7:$F267,$F267)=1,1,0))</f>
        <v/>
      </c>
    </row>
    <row r="268" customFormat="false" ht="15" hidden="false" customHeight="true" outlineLevel="0" collapsed="false">
      <c r="A268" s="56"/>
      <c r="B268" s="56"/>
      <c r="C268" s="56"/>
      <c r="D268" s="56"/>
      <c r="E268" s="16"/>
      <c r="F268" s="16"/>
      <c r="G268" s="67"/>
      <c r="H268" s="67"/>
      <c r="I268" s="67"/>
      <c r="J268" s="67"/>
      <c r="K268" s="56"/>
      <c r="L268" s="56"/>
      <c r="M268" s="66" t="str">
        <f aca="false">IF(OR($D268="",$F268=""),"",IF(COUNTIFS($D$7:$D268,$D268,$F$7:$F268,$F268)=1,1,0))</f>
        <v/>
      </c>
    </row>
    <row r="269" customFormat="false" ht="15" hidden="false" customHeight="true" outlineLevel="0" collapsed="false">
      <c r="A269" s="38"/>
      <c r="B269" s="38"/>
      <c r="C269" s="38"/>
      <c r="D269" s="38"/>
      <c r="E269" s="13"/>
      <c r="F269" s="13"/>
      <c r="G269" s="67"/>
      <c r="H269" s="67"/>
      <c r="I269" s="67"/>
      <c r="J269" s="67"/>
      <c r="K269" s="38"/>
      <c r="L269" s="38"/>
      <c r="M269" s="66" t="str">
        <f aca="false">IF(OR($D269="",$F269=""),"",IF(COUNTIFS($D$7:$D269,$D269,$F$7:$F269,$F269)=1,1,0))</f>
        <v/>
      </c>
    </row>
    <row r="270" customFormat="false" ht="15" hidden="false" customHeight="true" outlineLevel="0" collapsed="false">
      <c r="A270" s="56"/>
      <c r="B270" s="56"/>
      <c r="C270" s="56"/>
      <c r="D270" s="56"/>
      <c r="E270" s="16"/>
      <c r="F270" s="16"/>
      <c r="G270" s="67"/>
      <c r="H270" s="67"/>
      <c r="I270" s="67"/>
      <c r="J270" s="67"/>
      <c r="K270" s="56"/>
      <c r="L270" s="56"/>
      <c r="M270" s="66" t="str">
        <f aca="false">IF(OR($D270="",$F270=""),"",IF(COUNTIFS($D$7:$D270,$D270,$F$7:$F270,$F270)=1,1,0))</f>
        <v/>
      </c>
    </row>
    <row r="271" customFormat="false" ht="15" hidden="false" customHeight="true" outlineLevel="0" collapsed="false">
      <c r="A271" s="38"/>
      <c r="B271" s="38"/>
      <c r="C271" s="38"/>
      <c r="D271" s="38"/>
      <c r="E271" s="13"/>
      <c r="F271" s="13"/>
      <c r="G271" s="67"/>
      <c r="H271" s="67"/>
      <c r="I271" s="67"/>
      <c r="J271" s="67"/>
      <c r="K271" s="38"/>
      <c r="L271" s="38"/>
      <c r="M271" s="66" t="str">
        <f aca="false">IF(OR($D271="",$F271=""),"",IF(COUNTIFS($D$7:$D271,$D271,$F$7:$F271,$F271)=1,1,0))</f>
        <v/>
      </c>
    </row>
    <row r="272" customFormat="false" ht="15" hidden="false" customHeight="true" outlineLevel="0" collapsed="false">
      <c r="A272" s="56"/>
      <c r="B272" s="56"/>
      <c r="C272" s="56"/>
      <c r="D272" s="56"/>
      <c r="E272" s="16"/>
      <c r="F272" s="16"/>
      <c r="G272" s="67"/>
      <c r="H272" s="67"/>
      <c r="I272" s="67"/>
      <c r="J272" s="67"/>
      <c r="K272" s="56"/>
      <c r="L272" s="56"/>
      <c r="M272" s="66" t="str">
        <f aca="false">IF(OR($D272="",$F272=""),"",IF(COUNTIFS($D$7:$D272,$D272,$F$7:$F272,$F272)=1,1,0))</f>
        <v/>
      </c>
    </row>
    <row r="273" customFormat="false" ht="15" hidden="false" customHeight="true" outlineLevel="0" collapsed="false">
      <c r="A273" s="38"/>
      <c r="B273" s="38"/>
      <c r="C273" s="38"/>
      <c r="D273" s="38"/>
      <c r="E273" s="13"/>
      <c r="F273" s="13"/>
      <c r="G273" s="67"/>
      <c r="H273" s="67"/>
      <c r="I273" s="67"/>
      <c r="J273" s="67"/>
      <c r="K273" s="38"/>
      <c r="L273" s="38"/>
      <c r="M273" s="66" t="str">
        <f aca="false">IF(OR($D273="",$F273=""),"",IF(COUNTIFS($D$7:$D273,$D273,$F$7:$F273,$F273)=1,1,0))</f>
        <v/>
      </c>
    </row>
    <row r="274" customFormat="false" ht="15" hidden="false" customHeight="true" outlineLevel="0" collapsed="false">
      <c r="A274" s="56"/>
      <c r="B274" s="56"/>
      <c r="C274" s="56"/>
      <c r="D274" s="56"/>
      <c r="E274" s="16"/>
      <c r="F274" s="16"/>
      <c r="G274" s="67"/>
      <c r="H274" s="67"/>
      <c r="I274" s="67"/>
      <c r="J274" s="67"/>
      <c r="K274" s="56"/>
      <c r="L274" s="56"/>
      <c r="M274" s="66" t="str">
        <f aca="false">IF(OR($D274="",$F274=""),"",IF(COUNTIFS($D$7:$D274,$D274,$F$7:$F274,$F274)=1,1,0))</f>
        <v/>
      </c>
    </row>
    <row r="275" customFormat="false" ht="15" hidden="false" customHeight="true" outlineLevel="0" collapsed="false">
      <c r="A275" s="38"/>
      <c r="B275" s="38"/>
      <c r="C275" s="38"/>
      <c r="D275" s="38"/>
      <c r="E275" s="13"/>
      <c r="F275" s="13"/>
      <c r="G275" s="67"/>
      <c r="H275" s="67"/>
      <c r="I275" s="67"/>
      <c r="J275" s="67"/>
      <c r="K275" s="38"/>
      <c r="L275" s="38"/>
      <c r="M275" s="66" t="str">
        <f aca="false">IF(OR($D275="",$F275=""),"",IF(COUNTIFS($D$7:$D275,$D275,$F$7:$F275,$F275)=1,1,0))</f>
        <v/>
      </c>
    </row>
    <row r="276" customFormat="false" ht="15" hidden="false" customHeight="true" outlineLevel="0" collapsed="false">
      <c r="A276" s="56"/>
      <c r="B276" s="56"/>
      <c r="C276" s="56"/>
      <c r="D276" s="56"/>
      <c r="E276" s="16"/>
      <c r="F276" s="16"/>
      <c r="G276" s="67"/>
      <c r="H276" s="67"/>
      <c r="I276" s="67"/>
      <c r="J276" s="67"/>
      <c r="K276" s="56"/>
      <c r="L276" s="56"/>
      <c r="M276" s="66" t="str">
        <f aca="false">IF(OR($D276="",$F276=""),"",IF(COUNTIFS($D$7:$D276,$D276,$F$7:$F276,$F276)=1,1,0))</f>
        <v/>
      </c>
    </row>
    <row r="277" customFormat="false" ht="15" hidden="false" customHeight="true" outlineLevel="0" collapsed="false">
      <c r="A277" s="38"/>
      <c r="B277" s="38"/>
      <c r="C277" s="38"/>
      <c r="D277" s="38"/>
      <c r="E277" s="13"/>
      <c r="F277" s="13"/>
      <c r="G277" s="67"/>
      <c r="H277" s="67"/>
      <c r="I277" s="67"/>
      <c r="J277" s="67"/>
      <c r="K277" s="38"/>
      <c r="L277" s="38"/>
      <c r="M277" s="66" t="str">
        <f aca="false">IF(OR($D277="",$F277=""),"",IF(COUNTIFS($D$7:$D277,$D277,$F$7:$F277,$F277)=1,1,0))</f>
        <v/>
      </c>
    </row>
    <row r="278" customFormat="false" ht="15" hidden="false" customHeight="true" outlineLevel="0" collapsed="false">
      <c r="A278" s="56"/>
      <c r="B278" s="56"/>
      <c r="C278" s="56"/>
      <c r="D278" s="56"/>
      <c r="E278" s="16"/>
      <c r="F278" s="16"/>
      <c r="G278" s="67"/>
      <c r="H278" s="67"/>
      <c r="I278" s="67"/>
      <c r="J278" s="67"/>
      <c r="K278" s="56"/>
      <c r="L278" s="56"/>
      <c r="M278" s="66" t="str">
        <f aca="false">IF(OR($D278="",$F278=""),"",IF(COUNTIFS($D$7:$D278,$D278,$F$7:$F278,$F278)=1,1,0))</f>
        <v/>
      </c>
    </row>
    <row r="279" customFormat="false" ht="15" hidden="false" customHeight="true" outlineLevel="0" collapsed="false">
      <c r="A279" s="38"/>
      <c r="B279" s="38"/>
      <c r="C279" s="38"/>
      <c r="D279" s="38"/>
      <c r="E279" s="13"/>
      <c r="F279" s="13"/>
      <c r="G279" s="67"/>
      <c r="H279" s="67"/>
      <c r="I279" s="67"/>
      <c r="J279" s="67"/>
      <c r="K279" s="38"/>
      <c r="L279" s="38"/>
      <c r="M279" s="66" t="str">
        <f aca="false">IF(OR($D279="",$F279=""),"",IF(COUNTIFS($D$7:$D279,$D279,$F$7:$F279,$F279)=1,1,0))</f>
        <v/>
      </c>
    </row>
    <row r="280" customFormat="false" ht="15" hidden="false" customHeight="true" outlineLevel="0" collapsed="false">
      <c r="A280" s="56"/>
      <c r="B280" s="56"/>
      <c r="C280" s="56"/>
      <c r="D280" s="56"/>
      <c r="E280" s="16"/>
      <c r="F280" s="16"/>
      <c r="G280" s="67"/>
      <c r="H280" s="67"/>
      <c r="I280" s="67"/>
      <c r="J280" s="67"/>
      <c r="K280" s="56"/>
      <c r="L280" s="56"/>
      <c r="M280" s="66" t="str">
        <f aca="false">IF(OR($D280="",$F280=""),"",IF(COUNTIFS($D$7:$D280,$D280,$F$7:$F280,$F280)=1,1,0))</f>
        <v/>
      </c>
    </row>
    <row r="281" customFormat="false" ht="15" hidden="false" customHeight="true" outlineLevel="0" collapsed="false">
      <c r="A281" s="38"/>
      <c r="B281" s="38"/>
      <c r="C281" s="38"/>
      <c r="D281" s="38"/>
      <c r="E281" s="13"/>
      <c r="F281" s="13"/>
      <c r="G281" s="67"/>
      <c r="H281" s="67"/>
      <c r="I281" s="67"/>
      <c r="J281" s="67"/>
      <c r="K281" s="38"/>
      <c r="L281" s="38"/>
      <c r="M281" s="66" t="str">
        <f aca="false">IF(OR($D281="",$F281=""),"",IF(COUNTIFS($D$7:$D281,$D281,$F$7:$F281,$F281)=1,1,0))</f>
        <v/>
      </c>
    </row>
    <row r="282" customFormat="false" ht="15" hidden="false" customHeight="true" outlineLevel="0" collapsed="false">
      <c r="A282" s="56"/>
      <c r="B282" s="56"/>
      <c r="C282" s="56"/>
      <c r="D282" s="56"/>
      <c r="E282" s="16"/>
      <c r="F282" s="16"/>
      <c r="G282" s="67"/>
      <c r="H282" s="67"/>
      <c r="I282" s="67"/>
      <c r="J282" s="67"/>
      <c r="K282" s="56"/>
      <c r="L282" s="56"/>
      <c r="M282" s="66" t="str">
        <f aca="false">IF(OR($D282="",$F282=""),"",IF(COUNTIFS($D$7:$D282,$D282,$F$7:$F282,$F282)=1,1,0))</f>
        <v/>
      </c>
    </row>
    <row r="283" customFormat="false" ht="15" hidden="false" customHeight="true" outlineLevel="0" collapsed="false">
      <c r="A283" s="38"/>
      <c r="B283" s="38"/>
      <c r="C283" s="38"/>
      <c r="D283" s="38"/>
      <c r="E283" s="13"/>
      <c r="F283" s="13"/>
      <c r="G283" s="67"/>
      <c r="H283" s="67"/>
      <c r="I283" s="67"/>
      <c r="J283" s="67"/>
      <c r="K283" s="38"/>
      <c r="L283" s="38"/>
      <c r="M283" s="66" t="str">
        <f aca="false">IF(OR($D283="",$F283=""),"",IF(COUNTIFS($D$7:$D283,$D283,$F$7:$F283,$F283)=1,1,0))</f>
        <v/>
      </c>
    </row>
    <row r="284" customFormat="false" ht="15" hidden="false" customHeight="true" outlineLevel="0" collapsed="false">
      <c r="A284" s="56"/>
      <c r="B284" s="56"/>
      <c r="C284" s="56"/>
      <c r="D284" s="56"/>
      <c r="E284" s="16"/>
      <c r="F284" s="16"/>
      <c r="G284" s="67"/>
      <c r="H284" s="67"/>
      <c r="I284" s="67"/>
      <c r="J284" s="67"/>
      <c r="K284" s="56"/>
      <c r="L284" s="56"/>
      <c r="M284" s="66" t="str">
        <f aca="false">IF(OR($D284="",$F284=""),"",IF(COUNTIFS($D$7:$D284,$D284,$F$7:$F284,$F284)=1,1,0))</f>
        <v/>
      </c>
    </row>
    <row r="285" customFormat="false" ht="15" hidden="false" customHeight="true" outlineLevel="0" collapsed="false">
      <c r="A285" s="38"/>
      <c r="B285" s="38"/>
      <c r="C285" s="38"/>
      <c r="D285" s="38"/>
      <c r="E285" s="13"/>
      <c r="F285" s="13"/>
      <c r="G285" s="67"/>
      <c r="H285" s="67"/>
      <c r="I285" s="67"/>
      <c r="J285" s="67"/>
      <c r="K285" s="38"/>
      <c r="L285" s="38"/>
      <c r="M285" s="66" t="str">
        <f aca="false">IF(OR($D285="",$F285=""),"",IF(COUNTIFS($D$7:$D285,$D285,$F$7:$F285,$F285)=1,1,0))</f>
        <v/>
      </c>
    </row>
    <row r="286" customFormat="false" ht="15" hidden="false" customHeight="true" outlineLevel="0" collapsed="false">
      <c r="A286" s="56"/>
      <c r="B286" s="56"/>
      <c r="C286" s="56"/>
      <c r="D286" s="56"/>
      <c r="E286" s="16"/>
      <c r="F286" s="16"/>
      <c r="G286" s="67"/>
      <c r="H286" s="67"/>
      <c r="I286" s="67"/>
      <c r="J286" s="67"/>
      <c r="K286" s="56"/>
      <c r="L286" s="56"/>
      <c r="M286" s="66" t="str">
        <f aca="false">IF(OR($D286="",$F286=""),"",IF(COUNTIFS($D$7:$D286,$D286,$F$7:$F286,$F286)=1,1,0))</f>
        <v/>
      </c>
    </row>
    <row r="287" customFormat="false" ht="15" hidden="false" customHeight="true" outlineLevel="0" collapsed="false">
      <c r="A287" s="38"/>
      <c r="B287" s="38"/>
      <c r="C287" s="38"/>
      <c r="D287" s="38"/>
      <c r="E287" s="13"/>
      <c r="F287" s="13"/>
      <c r="G287" s="67"/>
      <c r="H287" s="67"/>
      <c r="I287" s="67"/>
      <c r="J287" s="67"/>
      <c r="K287" s="38"/>
      <c r="L287" s="38"/>
      <c r="M287" s="66" t="str">
        <f aca="false">IF(OR($D287="",$F287=""),"",IF(COUNTIFS($D$7:$D287,$D287,$F$7:$F287,$F287)=1,1,0))</f>
        <v/>
      </c>
    </row>
    <row r="288" customFormat="false" ht="15" hidden="false" customHeight="true" outlineLevel="0" collapsed="false">
      <c r="A288" s="56"/>
      <c r="B288" s="56"/>
      <c r="C288" s="56"/>
      <c r="D288" s="56"/>
      <c r="E288" s="16"/>
      <c r="F288" s="16"/>
      <c r="G288" s="67"/>
      <c r="H288" s="67"/>
      <c r="I288" s="67"/>
      <c r="J288" s="67"/>
      <c r="K288" s="56"/>
      <c r="L288" s="56"/>
      <c r="M288" s="66" t="str">
        <f aca="false">IF(OR($D288="",$F288=""),"",IF(COUNTIFS($D$7:$D288,$D288,$F$7:$F288,$F288)=1,1,0))</f>
        <v/>
      </c>
    </row>
    <row r="289" customFormat="false" ht="15" hidden="false" customHeight="true" outlineLevel="0" collapsed="false">
      <c r="A289" s="38"/>
      <c r="B289" s="38"/>
      <c r="C289" s="38"/>
      <c r="D289" s="38"/>
      <c r="E289" s="13"/>
      <c r="F289" s="13"/>
      <c r="G289" s="67"/>
      <c r="H289" s="67"/>
      <c r="I289" s="67"/>
      <c r="J289" s="67"/>
      <c r="K289" s="38"/>
      <c r="L289" s="38"/>
      <c r="M289" s="66" t="str">
        <f aca="false">IF(OR($D289="",$F289=""),"",IF(COUNTIFS($D$7:$D289,$D289,$F$7:$F289,$F289)=1,1,0))</f>
        <v/>
      </c>
    </row>
    <row r="290" customFormat="false" ht="15" hidden="false" customHeight="true" outlineLevel="0" collapsed="false">
      <c r="A290" s="56"/>
      <c r="B290" s="56"/>
      <c r="C290" s="56"/>
      <c r="D290" s="56"/>
      <c r="E290" s="16"/>
      <c r="F290" s="16"/>
      <c r="G290" s="67"/>
      <c r="H290" s="67"/>
      <c r="I290" s="67"/>
      <c r="J290" s="67"/>
      <c r="K290" s="56"/>
      <c r="L290" s="56"/>
      <c r="M290" s="66" t="str">
        <f aca="false">IF(OR($D290="",$F290=""),"",IF(COUNTIFS($D$7:$D290,$D290,$F$7:$F290,$F290)=1,1,0))</f>
        <v/>
      </c>
    </row>
    <row r="291" customFormat="false" ht="15" hidden="false" customHeight="true" outlineLevel="0" collapsed="false">
      <c r="A291" s="38"/>
      <c r="B291" s="38"/>
      <c r="C291" s="38"/>
      <c r="D291" s="38"/>
      <c r="E291" s="13"/>
      <c r="F291" s="13"/>
      <c r="G291" s="67"/>
      <c r="H291" s="67"/>
      <c r="I291" s="67"/>
      <c r="J291" s="67"/>
      <c r="K291" s="38"/>
      <c r="L291" s="38"/>
      <c r="M291" s="66" t="str">
        <f aca="false">IF(OR($D291="",$F291=""),"",IF(COUNTIFS($D$7:$D291,$D291,$F$7:$F291,$F291)=1,1,0))</f>
        <v/>
      </c>
    </row>
    <row r="292" customFormat="false" ht="15" hidden="false" customHeight="true" outlineLevel="0" collapsed="false">
      <c r="A292" s="56"/>
      <c r="B292" s="56"/>
      <c r="C292" s="56"/>
      <c r="D292" s="56"/>
      <c r="E292" s="16"/>
      <c r="F292" s="16"/>
      <c r="G292" s="67"/>
      <c r="H292" s="67"/>
      <c r="I292" s="67"/>
      <c r="J292" s="67"/>
      <c r="K292" s="56"/>
      <c r="L292" s="56"/>
      <c r="M292" s="66" t="str">
        <f aca="false">IF(OR($D292="",$F292=""),"",IF(COUNTIFS($D$7:$D292,$D292,$F$7:$F292,$F292)=1,1,0))</f>
        <v/>
      </c>
    </row>
    <row r="293" customFormat="false" ht="15" hidden="false" customHeight="true" outlineLevel="0" collapsed="false">
      <c r="A293" s="38"/>
      <c r="B293" s="38"/>
      <c r="C293" s="38"/>
      <c r="D293" s="38"/>
      <c r="E293" s="13"/>
      <c r="F293" s="13"/>
      <c r="G293" s="67"/>
      <c r="H293" s="67"/>
      <c r="I293" s="67"/>
      <c r="J293" s="67"/>
      <c r="K293" s="38"/>
      <c r="L293" s="38"/>
      <c r="M293" s="66" t="str">
        <f aca="false">IF(OR($D293="",$F293=""),"",IF(COUNTIFS($D$7:$D293,$D293,$F$7:$F293,$F293)=1,1,0))</f>
        <v/>
      </c>
    </row>
    <row r="294" customFormat="false" ht="15" hidden="false" customHeight="true" outlineLevel="0" collapsed="false">
      <c r="A294" s="56"/>
      <c r="B294" s="56"/>
      <c r="C294" s="56"/>
      <c r="D294" s="56"/>
      <c r="E294" s="16"/>
      <c r="F294" s="16"/>
      <c r="G294" s="67"/>
      <c r="H294" s="67"/>
      <c r="I294" s="67"/>
      <c r="J294" s="67"/>
      <c r="K294" s="56"/>
      <c r="L294" s="56"/>
      <c r="M294" s="66" t="str">
        <f aca="false">IF(OR($D294="",$F294=""),"",IF(COUNTIFS($D$7:$D294,$D294,$F$7:$F294,$F294)=1,1,0))</f>
        <v/>
      </c>
    </row>
    <row r="295" customFormat="false" ht="15" hidden="false" customHeight="true" outlineLevel="0" collapsed="false">
      <c r="A295" s="38"/>
      <c r="B295" s="38"/>
      <c r="C295" s="38"/>
      <c r="D295" s="38"/>
      <c r="E295" s="13"/>
      <c r="F295" s="13"/>
      <c r="G295" s="67"/>
      <c r="H295" s="67"/>
      <c r="I295" s="67"/>
      <c r="J295" s="67"/>
      <c r="K295" s="38"/>
      <c r="L295" s="38"/>
      <c r="M295" s="66" t="str">
        <f aca="false">IF(OR($D295="",$F295=""),"",IF(COUNTIFS($D$7:$D295,$D295,$F$7:$F295,$F295)=1,1,0))</f>
        <v/>
      </c>
    </row>
    <row r="296" customFormat="false" ht="15" hidden="false" customHeight="true" outlineLevel="0" collapsed="false">
      <c r="A296" s="56"/>
      <c r="B296" s="56"/>
      <c r="C296" s="56"/>
      <c r="D296" s="56"/>
      <c r="E296" s="16"/>
      <c r="F296" s="16"/>
      <c r="G296" s="67"/>
      <c r="H296" s="67"/>
      <c r="I296" s="67"/>
      <c r="J296" s="67"/>
      <c r="K296" s="56"/>
      <c r="L296" s="56"/>
      <c r="M296" s="66" t="str">
        <f aca="false">IF(OR($D296="",$F296=""),"",IF(COUNTIFS($D$7:$D296,$D296,$F$7:$F296,$F296)=1,1,0))</f>
        <v/>
      </c>
    </row>
    <row r="297" customFormat="false" ht="15" hidden="false" customHeight="true" outlineLevel="0" collapsed="false">
      <c r="A297" s="38"/>
      <c r="B297" s="38"/>
      <c r="C297" s="38"/>
      <c r="D297" s="38"/>
      <c r="E297" s="13"/>
      <c r="F297" s="13"/>
      <c r="G297" s="67"/>
      <c r="H297" s="67"/>
      <c r="I297" s="67"/>
      <c r="J297" s="67"/>
      <c r="K297" s="38"/>
      <c r="L297" s="38"/>
      <c r="M297" s="66" t="str">
        <f aca="false">IF(OR($D297="",$F297=""),"",IF(COUNTIFS($D$7:$D297,$D297,$F$7:$F297,$F297)=1,1,0))</f>
        <v/>
      </c>
    </row>
    <row r="298" customFormat="false" ht="15" hidden="false" customHeight="true" outlineLevel="0" collapsed="false">
      <c r="A298" s="56"/>
      <c r="B298" s="56"/>
      <c r="C298" s="56"/>
      <c r="D298" s="56"/>
      <c r="E298" s="16"/>
      <c r="F298" s="16"/>
      <c r="G298" s="67"/>
      <c r="H298" s="67"/>
      <c r="I298" s="67"/>
      <c r="J298" s="67"/>
      <c r="K298" s="56"/>
      <c r="L298" s="56"/>
      <c r="M298" s="66" t="str">
        <f aca="false">IF(OR($D298="",$F298=""),"",IF(COUNTIFS($D$7:$D298,$D298,$F$7:$F298,$F298)=1,1,0))</f>
        <v/>
      </c>
    </row>
    <row r="299" customFormat="false" ht="15" hidden="false" customHeight="true" outlineLevel="0" collapsed="false">
      <c r="A299" s="38"/>
      <c r="B299" s="38"/>
      <c r="C299" s="38"/>
      <c r="D299" s="38"/>
      <c r="E299" s="13"/>
      <c r="F299" s="13"/>
      <c r="G299" s="67"/>
      <c r="H299" s="67"/>
      <c r="I299" s="67"/>
      <c r="J299" s="67"/>
      <c r="K299" s="38"/>
      <c r="L299" s="38"/>
      <c r="M299" s="66" t="str">
        <f aca="false">IF(OR($D299="",$F299=""),"",IF(COUNTIFS($D$7:$D299,$D299,$F$7:$F299,$F299)=1,1,0))</f>
        <v/>
      </c>
    </row>
    <row r="300" customFormat="false" ht="15" hidden="false" customHeight="true" outlineLevel="0" collapsed="false">
      <c r="A300" s="56"/>
      <c r="B300" s="56"/>
      <c r="C300" s="56"/>
      <c r="D300" s="56"/>
      <c r="E300" s="16"/>
      <c r="F300" s="16"/>
      <c r="G300" s="67"/>
      <c r="H300" s="67"/>
      <c r="I300" s="67"/>
      <c r="J300" s="67"/>
      <c r="K300" s="56"/>
      <c r="L300" s="56"/>
      <c r="M300" s="66" t="str">
        <f aca="false">IF(OR($D300="",$F300=""),"",IF(COUNTIFS($D$7:$D300,$D300,$F$7:$F300,$F300)=1,1,0))</f>
        <v/>
      </c>
    </row>
    <row r="301" customFormat="false" ht="15" hidden="false" customHeight="true" outlineLevel="0" collapsed="false">
      <c r="A301" s="38"/>
      <c r="B301" s="38"/>
      <c r="C301" s="38"/>
      <c r="D301" s="38"/>
      <c r="E301" s="13"/>
      <c r="F301" s="13"/>
      <c r="G301" s="67"/>
      <c r="H301" s="67"/>
      <c r="I301" s="67"/>
      <c r="J301" s="67"/>
      <c r="K301" s="38"/>
      <c r="L301" s="38"/>
      <c r="M301" s="66" t="str">
        <f aca="false">IF(OR($D301="",$F301=""),"",IF(COUNTIFS($D$7:$D301,$D301,$F$7:$F301,$F301)=1,1,0))</f>
        <v/>
      </c>
    </row>
    <row r="302" customFormat="false" ht="15" hidden="false" customHeight="true" outlineLevel="0" collapsed="false">
      <c r="A302" s="56"/>
      <c r="B302" s="56"/>
      <c r="C302" s="56"/>
      <c r="D302" s="56"/>
      <c r="E302" s="16"/>
      <c r="F302" s="16"/>
      <c r="G302" s="67"/>
      <c r="H302" s="67"/>
      <c r="I302" s="67"/>
      <c r="J302" s="67"/>
      <c r="K302" s="56"/>
      <c r="L302" s="56"/>
      <c r="M302" s="66" t="str">
        <f aca="false">IF(OR($D302="",$F302=""),"",IF(COUNTIFS($D$7:$D302,$D302,$F$7:$F302,$F302)=1,1,0))</f>
        <v/>
      </c>
    </row>
    <row r="303" customFormat="false" ht="15" hidden="false" customHeight="true" outlineLevel="0" collapsed="false">
      <c r="A303" s="38"/>
      <c r="B303" s="38"/>
      <c r="C303" s="38"/>
      <c r="D303" s="38"/>
      <c r="E303" s="13"/>
      <c r="F303" s="13"/>
      <c r="G303" s="67"/>
      <c r="H303" s="67"/>
      <c r="I303" s="67"/>
      <c r="J303" s="67"/>
      <c r="K303" s="38"/>
      <c r="L303" s="38"/>
      <c r="M303" s="66" t="str">
        <f aca="false">IF(OR($D303="",$F303=""),"",IF(COUNTIFS($D$7:$D303,$D303,$F$7:$F303,$F303)=1,1,0))</f>
        <v/>
      </c>
    </row>
    <row r="304" customFormat="false" ht="15" hidden="false" customHeight="true" outlineLevel="0" collapsed="false">
      <c r="A304" s="56"/>
      <c r="B304" s="56"/>
      <c r="C304" s="56"/>
      <c r="D304" s="56"/>
      <c r="E304" s="16"/>
      <c r="F304" s="16"/>
      <c r="G304" s="67"/>
      <c r="H304" s="67"/>
      <c r="I304" s="67"/>
      <c r="J304" s="67"/>
      <c r="K304" s="56"/>
      <c r="L304" s="56"/>
      <c r="M304" s="66" t="str">
        <f aca="false">IF(OR($D304="",$F304=""),"",IF(COUNTIFS($D$7:$D304,$D304,$F$7:$F304,$F304)=1,1,0))</f>
        <v/>
      </c>
    </row>
    <row r="305" customFormat="false" ht="15" hidden="false" customHeight="true" outlineLevel="0" collapsed="false">
      <c r="A305" s="38"/>
      <c r="B305" s="38"/>
      <c r="C305" s="38"/>
      <c r="D305" s="38"/>
      <c r="E305" s="13"/>
      <c r="F305" s="13"/>
      <c r="G305" s="67"/>
      <c r="H305" s="67"/>
      <c r="I305" s="67"/>
      <c r="J305" s="67"/>
      <c r="K305" s="38"/>
      <c r="L305" s="38"/>
      <c r="M305" s="66" t="str">
        <f aca="false">IF(OR($D305="",$F305=""),"",IF(COUNTIFS($D$7:$D305,$D305,$F$7:$F305,$F305)=1,1,0))</f>
        <v/>
      </c>
    </row>
    <row r="306" customFormat="false" ht="15" hidden="false" customHeight="true" outlineLevel="0" collapsed="false">
      <c r="A306" s="56"/>
      <c r="B306" s="56"/>
      <c r="C306" s="56"/>
      <c r="D306" s="56"/>
      <c r="E306" s="16"/>
      <c r="F306" s="16"/>
      <c r="G306" s="67"/>
      <c r="H306" s="67"/>
      <c r="I306" s="67"/>
      <c r="J306" s="67"/>
      <c r="K306" s="56"/>
      <c r="L306" s="56"/>
      <c r="M306" s="66" t="str">
        <f aca="false">IF(OR($D306="",$F306=""),"",IF(COUNTIFS($D$7:$D306,$D306,$F$7:$F306,$F306)=1,1,0))</f>
        <v/>
      </c>
    </row>
    <row r="307" customFormat="false" ht="15" hidden="false" customHeight="true" outlineLevel="0" collapsed="false">
      <c r="A307" s="38"/>
      <c r="B307" s="38"/>
      <c r="C307" s="38"/>
      <c r="D307" s="38"/>
      <c r="E307" s="13"/>
      <c r="F307" s="13"/>
      <c r="G307" s="67"/>
      <c r="H307" s="67"/>
      <c r="I307" s="67"/>
      <c r="J307" s="67"/>
      <c r="K307" s="38"/>
      <c r="L307" s="38"/>
      <c r="M307" s="66" t="str">
        <f aca="false">IF(OR($D307="",$F307=""),"",IF(COUNTIFS($D$7:$D307,$D307,$F$7:$F307,$F307)=1,1,0))</f>
        <v/>
      </c>
    </row>
    <row r="308" customFormat="false" ht="15" hidden="false" customHeight="true" outlineLevel="0" collapsed="false">
      <c r="A308" s="56"/>
      <c r="B308" s="56"/>
      <c r="C308" s="56"/>
      <c r="D308" s="56"/>
      <c r="E308" s="16"/>
      <c r="F308" s="16"/>
      <c r="G308" s="67"/>
      <c r="H308" s="67"/>
      <c r="I308" s="67"/>
      <c r="J308" s="67"/>
      <c r="K308" s="56"/>
      <c r="L308" s="56"/>
      <c r="M308" s="66" t="str">
        <f aca="false">IF(OR($D308="",$F308=""),"",IF(COUNTIFS($D$7:$D308,$D308,$F$7:$F308,$F308)=1,1,0))</f>
        <v/>
      </c>
    </row>
    <row r="309" customFormat="false" ht="15" hidden="false" customHeight="true" outlineLevel="0" collapsed="false">
      <c r="A309" s="38"/>
      <c r="B309" s="38"/>
      <c r="C309" s="38"/>
      <c r="D309" s="38"/>
      <c r="E309" s="13"/>
      <c r="F309" s="13"/>
      <c r="G309" s="67"/>
      <c r="H309" s="67"/>
      <c r="I309" s="67"/>
      <c r="J309" s="67"/>
      <c r="K309" s="38"/>
      <c r="L309" s="38"/>
      <c r="M309" s="66" t="str">
        <f aca="false">IF(OR($D309="",$F309=""),"",IF(COUNTIFS($D$7:$D309,$D309,$F$7:$F309,$F309)=1,1,0))</f>
        <v/>
      </c>
    </row>
    <row r="310" customFormat="false" ht="15" hidden="false" customHeight="true" outlineLevel="0" collapsed="false">
      <c r="A310" s="56"/>
      <c r="B310" s="56"/>
      <c r="C310" s="56"/>
      <c r="D310" s="56"/>
      <c r="E310" s="16"/>
      <c r="F310" s="16"/>
      <c r="G310" s="67"/>
      <c r="H310" s="67"/>
      <c r="I310" s="67"/>
      <c r="J310" s="67"/>
      <c r="K310" s="56"/>
      <c r="L310" s="56"/>
      <c r="M310" s="66" t="str">
        <f aca="false">IF(OR($D310="",$F310=""),"",IF(COUNTIFS($D$7:$D310,$D310,$F$7:$F310,$F310)=1,1,0))</f>
        <v/>
      </c>
    </row>
    <row r="311" customFormat="false" ht="15" hidden="false" customHeight="true" outlineLevel="0" collapsed="false">
      <c r="A311" s="38"/>
      <c r="B311" s="38"/>
      <c r="C311" s="38"/>
      <c r="D311" s="38"/>
      <c r="E311" s="13"/>
      <c r="F311" s="13"/>
      <c r="G311" s="67"/>
      <c r="H311" s="67"/>
      <c r="I311" s="67"/>
      <c r="J311" s="67"/>
      <c r="K311" s="38"/>
      <c r="L311" s="38"/>
      <c r="M311" s="66" t="str">
        <f aca="false">IF(OR($D311="",$F311=""),"",IF(COUNTIFS($D$7:$D311,$D311,$F$7:$F311,$F311)=1,1,0))</f>
        <v/>
      </c>
    </row>
    <row r="312" customFormat="false" ht="15" hidden="false" customHeight="true" outlineLevel="0" collapsed="false">
      <c r="A312" s="56"/>
      <c r="B312" s="56"/>
      <c r="C312" s="56"/>
      <c r="D312" s="56"/>
      <c r="E312" s="16"/>
      <c r="F312" s="16"/>
      <c r="G312" s="67"/>
      <c r="H312" s="67"/>
      <c r="I312" s="67"/>
      <c r="J312" s="67"/>
      <c r="K312" s="56"/>
      <c r="L312" s="56"/>
      <c r="M312" s="66" t="str">
        <f aca="false">IF(OR($D312="",$F312=""),"",IF(COUNTIFS($D$7:$D312,$D312,$F$7:$F312,$F312)=1,1,0))</f>
        <v/>
      </c>
    </row>
    <row r="313" customFormat="false" ht="15" hidden="false" customHeight="true" outlineLevel="0" collapsed="false">
      <c r="A313" s="38"/>
      <c r="B313" s="38"/>
      <c r="C313" s="38"/>
      <c r="D313" s="38"/>
      <c r="E313" s="13"/>
      <c r="F313" s="13"/>
      <c r="G313" s="67"/>
      <c r="H313" s="67"/>
      <c r="I313" s="67"/>
      <c r="J313" s="67"/>
      <c r="K313" s="38"/>
      <c r="L313" s="38"/>
      <c r="M313" s="66" t="str">
        <f aca="false">IF(OR($D313="",$F313=""),"",IF(COUNTIFS($D$7:$D313,$D313,$F$7:$F313,$F313)=1,1,0))</f>
        <v/>
      </c>
    </row>
    <row r="314" customFormat="false" ht="15" hidden="false" customHeight="true" outlineLevel="0" collapsed="false">
      <c r="A314" s="56"/>
      <c r="B314" s="56"/>
      <c r="C314" s="56"/>
      <c r="D314" s="56"/>
      <c r="E314" s="16"/>
      <c r="F314" s="16"/>
      <c r="G314" s="67"/>
      <c r="H314" s="67"/>
      <c r="I314" s="67"/>
      <c r="J314" s="67"/>
      <c r="K314" s="56"/>
      <c r="L314" s="56"/>
      <c r="M314" s="66" t="str">
        <f aca="false">IF(OR($D314="",$F314=""),"",IF(COUNTIFS($D$7:$D314,$D314,$F$7:$F314,$F314)=1,1,0))</f>
        <v/>
      </c>
    </row>
    <row r="315" customFormat="false" ht="15" hidden="false" customHeight="true" outlineLevel="0" collapsed="false">
      <c r="A315" s="38"/>
      <c r="B315" s="38"/>
      <c r="C315" s="38"/>
      <c r="D315" s="38"/>
      <c r="E315" s="13"/>
      <c r="F315" s="13"/>
      <c r="G315" s="67"/>
      <c r="H315" s="67"/>
      <c r="I315" s="67"/>
      <c r="J315" s="67"/>
      <c r="K315" s="38"/>
      <c r="L315" s="38"/>
      <c r="M315" s="66" t="str">
        <f aca="false">IF(OR($D315="",$F315=""),"",IF(COUNTIFS($D$7:$D315,$D315,$F$7:$F315,$F315)=1,1,0))</f>
        <v/>
      </c>
    </row>
    <row r="316" customFormat="false" ht="15" hidden="false" customHeight="true" outlineLevel="0" collapsed="false">
      <c r="A316" s="56"/>
      <c r="B316" s="56"/>
      <c r="C316" s="56"/>
      <c r="D316" s="56"/>
      <c r="E316" s="16"/>
      <c r="F316" s="16"/>
      <c r="G316" s="67"/>
      <c r="H316" s="67"/>
      <c r="I316" s="67"/>
      <c r="J316" s="67"/>
      <c r="K316" s="56"/>
      <c r="L316" s="56"/>
      <c r="M316" s="66" t="str">
        <f aca="false">IF(OR($D316="",$F316=""),"",IF(COUNTIFS($D$7:$D316,$D316,$F$7:$F316,$F316)=1,1,0))</f>
        <v/>
      </c>
    </row>
    <row r="317" customFormat="false" ht="15" hidden="false" customHeight="true" outlineLevel="0" collapsed="false">
      <c r="A317" s="38"/>
      <c r="B317" s="38"/>
      <c r="C317" s="38"/>
      <c r="D317" s="38"/>
      <c r="E317" s="13"/>
      <c r="F317" s="13"/>
      <c r="G317" s="67"/>
      <c r="H317" s="67"/>
      <c r="I317" s="67"/>
      <c r="J317" s="67"/>
      <c r="K317" s="38"/>
      <c r="L317" s="38"/>
      <c r="M317" s="66" t="str">
        <f aca="false">IF(OR($D317="",$F317=""),"",IF(COUNTIFS($D$7:$D317,$D317,$F$7:$F317,$F317)=1,1,0))</f>
        <v/>
      </c>
    </row>
    <row r="318" customFormat="false" ht="15" hidden="false" customHeight="true" outlineLevel="0" collapsed="false">
      <c r="A318" s="56"/>
      <c r="B318" s="56"/>
      <c r="C318" s="56"/>
      <c r="D318" s="56"/>
      <c r="E318" s="16"/>
      <c r="F318" s="16"/>
      <c r="G318" s="67"/>
      <c r="H318" s="67"/>
      <c r="I318" s="67"/>
      <c r="J318" s="67"/>
      <c r="K318" s="56"/>
      <c r="L318" s="56"/>
      <c r="M318" s="66" t="str">
        <f aca="false">IF(OR($D318="",$F318=""),"",IF(COUNTIFS($D$7:$D318,$D318,$F$7:$F318,$F318)=1,1,0))</f>
        <v/>
      </c>
    </row>
    <row r="319" customFormat="false" ht="15" hidden="false" customHeight="true" outlineLevel="0" collapsed="false">
      <c r="A319" s="38"/>
      <c r="B319" s="38"/>
      <c r="C319" s="38"/>
      <c r="D319" s="38"/>
      <c r="E319" s="13"/>
      <c r="F319" s="13"/>
      <c r="G319" s="67"/>
      <c r="H319" s="67"/>
      <c r="I319" s="67"/>
      <c r="J319" s="67"/>
      <c r="K319" s="38"/>
      <c r="L319" s="38"/>
      <c r="M319" s="66" t="str">
        <f aca="false">IF(OR($D319="",$F319=""),"",IF(COUNTIFS($D$7:$D319,$D319,$F$7:$F319,$F319)=1,1,0))</f>
        <v/>
      </c>
    </row>
    <row r="320" customFormat="false" ht="15" hidden="false" customHeight="true" outlineLevel="0" collapsed="false">
      <c r="A320" s="56"/>
      <c r="B320" s="56"/>
      <c r="C320" s="56"/>
      <c r="D320" s="56"/>
      <c r="E320" s="16"/>
      <c r="F320" s="16"/>
      <c r="G320" s="67"/>
      <c r="H320" s="67"/>
      <c r="I320" s="67"/>
      <c r="J320" s="67"/>
      <c r="K320" s="56"/>
      <c r="L320" s="56"/>
      <c r="M320" s="66" t="str">
        <f aca="false">IF(OR($D320="",$F320=""),"",IF(COUNTIFS($D$7:$D320,$D320,$F$7:$F320,$F320)=1,1,0))</f>
        <v/>
      </c>
    </row>
    <row r="321" customFormat="false" ht="15" hidden="false" customHeight="true" outlineLevel="0" collapsed="false">
      <c r="A321" s="38"/>
      <c r="B321" s="38"/>
      <c r="C321" s="38"/>
      <c r="D321" s="38"/>
      <c r="E321" s="13"/>
      <c r="F321" s="13"/>
      <c r="G321" s="67"/>
      <c r="H321" s="67"/>
      <c r="I321" s="67"/>
      <c r="J321" s="67"/>
      <c r="K321" s="38"/>
      <c r="L321" s="38"/>
      <c r="M321" s="66" t="str">
        <f aca="false">IF(OR($D321="",$F321=""),"",IF(COUNTIFS($D$7:$D321,$D321,$F$7:$F321,$F321)=1,1,0))</f>
        <v/>
      </c>
    </row>
    <row r="322" customFormat="false" ht="15" hidden="false" customHeight="true" outlineLevel="0" collapsed="false">
      <c r="A322" s="56"/>
      <c r="B322" s="56"/>
      <c r="C322" s="56"/>
      <c r="D322" s="56"/>
      <c r="E322" s="16"/>
      <c r="F322" s="16"/>
      <c r="G322" s="67"/>
      <c r="H322" s="67"/>
      <c r="I322" s="67"/>
      <c r="J322" s="67"/>
      <c r="K322" s="56"/>
      <c r="L322" s="56"/>
      <c r="M322" s="66" t="str">
        <f aca="false">IF(OR($D322="",$F322=""),"",IF(COUNTIFS($D$7:$D322,$D322,$F$7:$F322,$F322)=1,1,0))</f>
        <v/>
      </c>
    </row>
    <row r="323" customFormat="false" ht="15" hidden="false" customHeight="true" outlineLevel="0" collapsed="false">
      <c r="A323" s="38"/>
      <c r="B323" s="38"/>
      <c r="C323" s="38"/>
      <c r="D323" s="38"/>
      <c r="E323" s="13"/>
      <c r="F323" s="13"/>
      <c r="G323" s="67"/>
      <c r="H323" s="67"/>
      <c r="I323" s="67"/>
      <c r="J323" s="67"/>
      <c r="K323" s="38"/>
      <c r="L323" s="38"/>
      <c r="M323" s="66" t="str">
        <f aca="false">IF(OR($D323="",$F323=""),"",IF(COUNTIFS($D$7:$D323,$D323,$F$7:$F323,$F323)=1,1,0))</f>
        <v/>
      </c>
    </row>
    <row r="324" customFormat="false" ht="15" hidden="false" customHeight="true" outlineLevel="0" collapsed="false">
      <c r="A324" s="56"/>
      <c r="B324" s="56"/>
      <c r="C324" s="56"/>
      <c r="D324" s="56"/>
      <c r="E324" s="16"/>
      <c r="F324" s="16"/>
      <c r="G324" s="67"/>
      <c r="H324" s="67"/>
      <c r="I324" s="67"/>
      <c r="J324" s="67"/>
      <c r="K324" s="56"/>
      <c r="L324" s="56"/>
      <c r="M324" s="66" t="str">
        <f aca="false">IF(OR($D324="",$F324=""),"",IF(COUNTIFS($D$7:$D324,$D324,$F$7:$F324,$F324)=1,1,0))</f>
        <v/>
      </c>
    </row>
    <row r="325" customFormat="false" ht="15" hidden="false" customHeight="true" outlineLevel="0" collapsed="false">
      <c r="A325" s="38"/>
      <c r="B325" s="38"/>
      <c r="C325" s="38"/>
      <c r="D325" s="38"/>
      <c r="E325" s="13"/>
      <c r="F325" s="13"/>
      <c r="G325" s="67"/>
      <c r="H325" s="67"/>
      <c r="I325" s="67"/>
      <c r="J325" s="67"/>
      <c r="K325" s="38"/>
      <c r="L325" s="38"/>
      <c r="M325" s="66" t="str">
        <f aca="false">IF(OR($D325="",$F325=""),"",IF(COUNTIFS($D$7:$D325,$D325,$F$7:$F325,$F325)=1,1,0))</f>
        <v/>
      </c>
    </row>
    <row r="326" customFormat="false" ht="15" hidden="false" customHeight="true" outlineLevel="0" collapsed="false">
      <c r="A326" s="56"/>
      <c r="B326" s="56"/>
      <c r="C326" s="56"/>
      <c r="D326" s="56"/>
      <c r="E326" s="16"/>
      <c r="F326" s="16"/>
      <c r="G326" s="67"/>
      <c r="H326" s="67"/>
      <c r="I326" s="67"/>
      <c r="J326" s="67"/>
      <c r="K326" s="56"/>
      <c r="L326" s="56"/>
      <c r="M326" s="66" t="str">
        <f aca="false">IF(OR($D326="",$F326=""),"",IF(COUNTIFS($D$7:$D326,$D326,$F$7:$F326,$F326)=1,1,0))</f>
        <v/>
      </c>
    </row>
    <row r="327" customFormat="false" ht="15" hidden="false" customHeight="true" outlineLevel="0" collapsed="false">
      <c r="A327" s="38"/>
      <c r="B327" s="38"/>
      <c r="C327" s="38"/>
      <c r="D327" s="38"/>
      <c r="E327" s="13"/>
      <c r="F327" s="13"/>
      <c r="G327" s="67"/>
      <c r="H327" s="67"/>
      <c r="I327" s="67"/>
      <c r="J327" s="67"/>
      <c r="K327" s="38"/>
      <c r="L327" s="38"/>
      <c r="M327" s="66" t="str">
        <f aca="false">IF(OR($D327="",$F327=""),"",IF(COUNTIFS($D$7:$D327,$D327,$F$7:$F327,$F327)=1,1,0))</f>
        <v/>
      </c>
    </row>
    <row r="328" customFormat="false" ht="15" hidden="false" customHeight="true" outlineLevel="0" collapsed="false">
      <c r="A328" s="56"/>
      <c r="B328" s="56"/>
      <c r="C328" s="56"/>
      <c r="D328" s="56"/>
      <c r="E328" s="16"/>
      <c r="F328" s="16"/>
      <c r="G328" s="67"/>
      <c r="H328" s="67"/>
      <c r="I328" s="67"/>
      <c r="J328" s="67"/>
      <c r="K328" s="56"/>
      <c r="L328" s="56"/>
      <c r="M328" s="66" t="str">
        <f aca="false">IF(OR($D328="",$F328=""),"",IF(COUNTIFS($D$7:$D328,$D328,$F$7:$F328,$F328)=1,1,0))</f>
        <v/>
      </c>
    </row>
    <row r="329" customFormat="false" ht="15" hidden="false" customHeight="true" outlineLevel="0" collapsed="false">
      <c r="A329" s="38"/>
      <c r="B329" s="38"/>
      <c r="C329" s="38"/>
      <c r="D329" s="38"/>
      <c r="E329" s="13"/>
      <c r="F329" s="13"/>
      <c r="G329" s="67"/>
      <c r="H329" s="67"/>
      <c r="I329" s="67"/>
      <c r="J329" s="67"/>
      <c r="K329" s="38"/>
      <c r="L329" s="38"/>
      <c r="M329" s="66" t="str">
        <f aca="false">IF(OR($D329="",$F329=""),"",IF(COUNTIFS($D$7:$D329,$D329,$F$7:$F329,$F329)=1,1,0))</f>
        <v/>
      </c>
    </row>
    <row r="330" customFormat="false" ht="15" hidden="false" customHeight="true" outlineLevel="0" collapsed="false">
      <c r="A330" s="56"/>
      <c r="B330" s="56"/>
      <c r="C330" s="56"/>
      <c r="D330" s="56"/>
      <c r="E330" s="16"/>
      <c r="F330" s="16"/>
      <c r="G330" s="67"/>
      <c r="H330" s="67"/>
      <c r="I330" s="67"/>
      <c r="J330" s="67"/>
      <c r="K330" s="56"/>
      <c r="L330" s="56"/>
      <c r="M330" s="66" t="str">
        <f aca="false">IF(OR($D330="",$F330=""),"",IF(COUNTIFS($D$7:$D330,$D330,$F$7:$F330,$F330)=1,1,0))</f>
        <v/>
      </c>
    </row>
    <row r="331" customFormat="false" ht="15" hidden="false" customHeight="true" outlineLevel="0" collapsed="false">
      <c r="A331" s="38"/>
      <c r="B331" s="38"/>
      <c r="C331" s="38"/>
      <c r="D331" s="38"/>
      <c r="E331" s="13"/>
      <c r="F331" s="13"/>
      <c r="G331" s="67"/>
      <c r="H331" s="67"/>
      <c r="I331" s="67"/>
      <c r="J331" s="67"/>
      <c r="K331" s="38"/>
      <c r="L331" s="38"/>
      <c r="M331" s="66" t="str">
        <f aca="false">IF(OR($D331="",$F331=""),"",IF(COUNTIFS($D$7:$D331,$D331,$F$7:$F331,$F331)=1,1,0))</f>
        <v/>
      </c>
    </row>
    <row r="332" customFormat="false" ht="15" hidden="false" customHeight="true" outlineLevel="0" collapsed="false">
      <c r="A332" s="56"/>
      <c r="B332" s="56"/>
      <c r="C332" s="56"/>
      <c r="D332" s="56"/>
      <c r="E332" s="16"/>
      <c r="F332" s="16"/>
      <c r="G332" s="67"/>
      <c r="H332" s="67"/>
      <c r="I332" s="67"/>
      <c r="J332" s="67"/>
      <c r="K332" s="56"/>
      <c r="L332" s="56"/>
      <c r="M332" s="66" t="str">
        <f aca="false">IF(OR($D332="",$F332=""),"",IF(COUNTIFS($D$7:$D332,$D332,$F$7:$F332,$F332)=1,1,0))</f>
        <v/>
      </c>
    </row>
    <row r="333" customFormat="false" ht="15" hidden="false" customHeight="true" outlineLevel="0" collapsed="false">
      <c r="A333" s="38"/>
      <c r="B333" s="38"/>
      <c r="C333" s="38"/>
      <c r="D333" s="38"/>
      <c r="E333" s="13"/>
      <c r="F333" s="13"/>
      <c r="G333" s="67"/>
      <c r="H333" s="67"/>
      <c r="I333" s="67"/>
      <c r="J333" s="67"/>
      <c r="K333" s="38"/>
      <c r="L333" s="38"/>
      <c r="M333" s="66" t="str">
        <f aca="false">IF(OR($D333="",$F333=""),"",IF(COUNTIFS($D$7:$D333,$D333,$F$7:$F333,$F333)=1,1,0))</f>
        <v/>
      </c>
    </row>
    <row r="334" customFormat="false" ht="15" hidden="false" customHeight="true" outlineLevel="0" collapsed="false">
      <c r="A334" s="56"/>
      <c r="B334" s="56"/>
      <c r="C334" s="56"/>
      <c r="D334" s="56"/>
      <c r="E334" s="16"/>
      <c r="F334" s="16"/>
      <c r="G334" s="67"/>
      <c r="H334" s="67"/>
      <c r="I334" s="67"/>
      <c r="J334" s="67"/>
      <c r="K334" s="56"/>
      <c r="L334" s="56"/>
      <c r="M334" s="66" t="str">
        <f aca="false">IF(OR($D334="",$F334=""),"",IF(COUNTIFS($D$7:$D334,$D334,$F$7:$F334,$F334)=1,1,0))</f>
        <v/>
      </c>
    </row>
    <row r="335" customFormat="false" ht="15" hidden="false" customHeight="true" outlineLevel="0" collapsed="false">
      <c r="A335" s="38"/>
      <c r="B335" s="38"/>
      <c r="C335" s="38"/>
      <c r="D335" s="38"/>
      <c r="E335" s="13"/>
      <c r="F335" s="13"/>
      <c r="G335" s="67"/>
      <c r="H335" s="67"/>
      <c r="I335" s="67"/>
      <c r="J335" s="67"/>
      <c r="K335" s="38"/>
      <c r="L335" s="38"/>
      <c r="M335" s="66" t="str">
        <f aca="false">IF(OR($D335="",$F335=""),"",IF(COUNTIFS($D$7:$D335,$D335,$F$7:$F335,$F335)=1,1,0))</f>
        <v/>
      </c>
    </row>
    <row r="336" customFormat="false" ht="15" hidden="false" customHeight="true" outlineLevel="0" collapsed="false">
      <c r="A336" s="56"/>
      <c r="B336" s="56"/>
      <c r="C336" s="56"/>
      <c r="D336" s="56"/>
      <c r="E336" s="16"/>
      <c r="F336" s="16"/>
      <c r="G336" s="67"/>
      <c r="H336" s="67"/>
      <c r="I336" s="67"/>
      <c r="J336" s="67"/>
      <c r="K336" s="56"/>
      <c r="L336" s="56"/>
      <c r="M336" s="66" t="str">
        <f aca="false">IF(OR($D336="",$F336=""),"",IF(COUNTIFS($D$7:$D336,$D336,$F$7:$F336,$F336)=1,1,0))</f>
        <v/>
      </c>
    </row>
    <row r="337" customFormat="false" ht="15" hidden="false" customHeight="true" outlineLevel="0" collapsed="false">
      <c r="A337" s="38"/>
      <c r="B337" s="38"/>
      <c r="C337" s="38"/>
      <c r="D337" s="38"/>
      <c r="E337" s="13"/>
      <c r="F337" s="13"/>
      <c r="G337" s="67"/>
      <c r="H337" s="67"/>
      <c r="I337" s="67"/>
      <c r="J337" s="67"/>
      <c r="K337" s="38"/>
      <c r="L337" s="38"/>
      <c r="M337" s="66" t="str">
        <f aca="false">IF(OR($D337="",$F337=""),"",IF(COUNTIFS($D$7:$D337,$D337,$F$7:$F337,$F337)=1,1,0))</f>
        <v/>
      </c>
    </row>
    <row r="338" customFormat="false" ht="15" hidden="false" customHeight="true" outlineLevel="0" collapsed="false">
      <c r="A338" s="56"/>
      <c r="B338" s="56"/>
      <c r="C338" s="56"/>
      <c r="D338" s="56"/>
      <c r="E338" s="16"/>
      <c r="F338" s="16"/>
      <c r="G338" s="67"/>
      <c r="H338" s="67"/>
      <c r="I338" s="67"/>
      <c r="J338" s="67"/>
      <c r="K338" s="56"/>
      <c r="L338" s="56"/>
      <c r="M338" s="66" t="str">
        <f aca="false">IF(OR($D338="",$F338=""),"",IF(COUNTIFS($D$7:$D338,$D338,$F$7:$F338,$F338)=1,1,0))</f>
        <v/>
      </c>
    </row>
    <row r="339" customFormat="false" ht="15" hidden="false" customHeight="true" outlineLevel="0" collapsed="false">
      <c r="A339" s="38"/>
      <c r="B339" s="38"/>
      <c r="C339" s="38"/>
      <c r="D339" s="38"/>
      <c r="E339" s="13"/>
      <c r="F339" s="13"/>
      <c r="G339" s="67"/>
      <c r="H339" s="67"/>
      <c r="I339" s="67"/>
      <c r="J339" s="67"/>
      <c r="K339" s="38"/>
      <c r="L339" s="38"/>
      <c r="M339" s="66" t="str">
        <f aca="false">IF(OR($D339="",$F339=""),"",IF(COUNTIFS($D$7:$D339,$D339,$F$7:$F339,$F339)=1,1,0))</f>
        <v/>
      </c>
    </row>
    <row r="340" customFormat="false" ht="15" hidden="false" customHeight="true" outlineLevel="0" collapsed="false">
      <c r="A340" s="56"/>
      <c r="B340" s="56"/>
      <c r="C340" s="56"/>
      <c r="D340" s="56"/>
      <c r="E340" s="16"/>
      <c r="F340" s="16"/>
      <c r="G340" s="67"/>
      <c r="H340" s="67"/>
      <c r="I340" s="67"/>
      <c r="J340" s="67"/>
      <c r="K340" s="56"/>
      <c r="L340" s="56"/>
      <c r="M340" s="66" t="str">
        <f aca="false">IF(OR($D340="",$F340=""),"",IF(COUNTIFS($D$7:$D340,$D340,$F$7:$F340,$F340)=1,1,0))</f>
        <v/>
      </c>
    </row>
    <row r="341" customFormat="false" ht="15" hidden="false" customHeight="true" outlineLevel="0" collapsed="false">
      <c r="A341" s="38"/>
      <c r="B341" s="38"/>
      <c r="C341" s="38"/>
      <c r="D341" s="38"/>
      <c r="E341" s="13"/>
      <c r="F341" s="13"/>
      <c r="G341" s="67"/>
      <c r="H341" s="67"/>
      <c r="I341" s="67"/>
      <c r="J341" s="67"/>
      <c r="K341" s="38"/>
      <c r="L341" s="38"/>
      <c r="M341" s="66" t="str">
        <f aca="false">IF(OR($D341="",$F341=""),"",IF(COUNTIFS($D$7:$D341,$D341,$F$7:$F341,$F341)=1,1,0))</f>
        <v/>
      </c>
    </row>
    <row r="342" customFormat="false" ht="15" hidden="false" customHeight="true" outlineLevel="0" collapsed="false">
      <c r="A342" s="56"/>
      <c r="B342" s="56"/>
      <c r="C342" s="56"/>
      <c r="D342" s="56"/>
      <c r="E342" s="16"/>
      <c r="F342" s="16"/>
      <c r="G342" s="67"/>
      <c r="H342" s="67"/>
      <c r="I342" s="67"/>
      <c r="J342" s="67"/>
      <c r="K342" s="56"/>
      <c r="L342" s="56"/>
      <c r="M342" s="66" t="str">
        <f aca="false">IF(OR($D342="",$F342=""),"",IF(COUNTIFS($D$7:$D342,$D342,$F$7:$F342,$F342)=1,1,0))</f>
        <v/>
      </c>
    </row>
    <row r="343" customFormat="false" ht="15" hidden="false" customHeight="true" outlineLevel="0" collapsed="false">
      <c r="A343" s="38"/>
      <c r="B343" s="38"/>
      <c r="C343" s="38"/>
      <c r="D343" s="38"/>
      <c r="E343" s="13"/>
      <c r="F343" s="13"/>
      <c r="G343" s="67"/>
      <c r="H343" s="67"/>
      <c r="I343" s="67"/>
      <c r="J343" s="67"/>
      <c r="K343" s="38"/>
      <c r="L343" s="38"/>
      <c r="M343" s="66" t="str">
        <f aca="false">IF(OR($D343="",$F343=""),"",IF(COUNTIFS($D$7:$D343,$D343,$F$7:$F343,$F343)=1,1,0))</f>
        <v/>
      </c>
    </row>
    <row r="344" customFormat="false" ht="15" hidden="false" customHeight="true" outlineLevel="0" collapsed="false">
      <c r="A344" s="56"/>
      <c r="B344" s="56"/>
      <c r="C344" s="56"/>
      <c r="D344" s="56"/>
      <c r="E344" s="16"/>
      <c r="F344" s="16"/>
      <c r="G344" s="67"/>
      <c r="H344" s="67"/>
      <c r="I344" s="67"/>
      <c r="J344" s="67"/>
      <c r="K344" s="56"/>
      <c r="L344" s="56"/>
      <c r="M344" s="66" t="str">
        <f aca="false">IF(OR($D344="",$F344=""),"",IF(COUNTIFS($D$7:$D344,$D344,$F$7:$F344,$F344)=1,1,0))</f>
        <v/>
      </c>
    </row>
    <row r="345" customFormat="false" ht="15" hidden="false" customHeight="true" outlineLevel="0" collapsed="false">
      <c r="A345" s="38"/>
      <c r="B345" s="38"/>
      <c r="C345" s="38"/>
      <c r="D345" s="38"/>
      <c r="E345" s="13"/>
      <c r="F345" s="13"/>
      <c r="G345" s="67"/>
      <c r="H345" s="67"/>
      <c r="I345" s="67"/>
      <c r="J345" s="67"/>
      <c r="K345" s="38"/>
      <c r="L345" s="38"/>
      <c r="M345" s="66" t="str">
        <f aca="false">IF(OR($D345="",$F345=""),"",IF(COUNTIFS($D$7:$D345,$D345,$F$7:$F345,$F345)=1,1,0))</f>
        <v/>
      </c>
    </row>
    <row r="346" customFormat="false" ht="15" hidden="false" customHeight="true" outlineLevel="0" collapsed="false">
      <c r="A346" s="56"/>
      <c r="B346" s="56"/>
      <c r="C346" s="56"/>
      <c r="D346" s="56"/>
      <c r="E346" s="16"/>
      <c r="F346" s="16"/>
      <c r="G346" s="67"/>
      <c r="H346" s="67"/>
      <c r="I346" s="67"/>
      <c r="J346" s="67"/>
      <c r="K346" s="56"/>
      <c r="L346" s="56"/>
      <c r="M346" s="66" t="str">
        <f aca="false">IF(OR($D346="",$F346=""),"",IF(COUNTIFS($D$7:$D346,$D346,$F$7:$F346,$F346)=1,1,0))</f>
        <v/>
      </c>
    </row>
    <row r="347" customFormat="false" ht="15" hidden="false" customHeight="true" outlineLevel="0" collapsed="false">
      <c r="A347" s="38"/>
      <c r="B347" s="38"/>
      <c r="C347" s="38"/>
      <c r="D347" s="38"/>
      <c r="E347" s="13"/>
      <c r="F347" s="13"/>
      <c r="G347" s="67"/>
      <c r="H347" s="67"/>
      <c r="I347" s="67"/>
      <c r="J347" s="67"/>
      <c r="K347" s="38"/>
      <c r="L347" s="38"/>
      <c r="M347" s="66" t="str">
        <f aca="false">IF(OR($D347="",$F347=""),"",IF(COUNTIFS($D$7:$D347,$D347,$F$7:$F347,$F347)=1,1,0))</f>
        <v/>
      </c>
    </row>
    <row r="348" customFormat="false" ht="15" hidden="false" customHeight="true" outlineLevel="0" collapsed="false">
      <c r="A348" s="56"/>
      <c r="B348" s="56"/>
      <c r="C348" s="56"/>
      <c r="D348" s="56"/>
      <c r="E348" s="16"/>
      <c r="F348" s="16"/>
      <c r="G348" s="67"/>
      <c r="H348" s="67"/>
      <c r="I348" s="67"/>
      <c r="J348" s="67"/>
      <c r="K348" s="56"/>
      <c r="L348" s="56"/>
      <c r="M348" s="66" t="str">
        <f aca="false">IF(OR($D348="",$F348=""),"",IF(COUNTIFS($D$7:$D348,$D348,$F$7:$F348,$F348)=1,1,0))</f>
        <v/>
      </c>
    </row>
    <row r="349" customFormat="false" ht="15" hidden="false" customHeight="true" outlineLevel="0" collapsed="false">
      <c r="A349" s="38"/>
      <c r="B349" s="38"/>
      <c r="C349" s="38"/>
      <c r="D349" s="38"/>
      <c r="E349" s="13"/>
      <c r="F349" s="13"/>
      <c r="G349" s="67"/>
      <c r="H349" s="67"/>
      <c r="I349" s="67"/>
      <c r="J349" s="67"/>
      <c r="K349" s="38"/>
      <c r="L349" s="38"/>
      <c r="M349" s="66" t="str">
        <f aca="false">IF(OR($D349="",$F349=""),"",IF(COUNTIFS($D$7:$D349,$D349,$F$7:$F349,$F349)=1,1,0))</f>
        <v/>
      </c>
    </row>
    <row r="350" customFormat="false" ht="15" hidden="false" customHeight="true" outlineLevel="0" collapsed="false">
      <c r="A350" s="56"/>
      <c r="B350" s="56"/>
      <c r="C350" s="56"/>
      <c r="D350" s="56"/>
      <c r="E350" s="16"/>
      <c r="F350" s="16"/>
      <c r="G350" s="67"/>
      <c r="H350" s="67"/>
      <c r="I350" s="67"/>
      <c r="J350" s="67"/>
      <c r="K350" s="56"/>
      <c r="L350" s="56"/>
      <c r="M350" s="66" t="str">
        <f aca="false">IF(OR($D350="",$F350=""),"",IF(COUNTIFS($D$7:$D350,$D350,$F$7:$F350,$F350)=1,1,0))</f>
        <v/>
      </c>
    </row>
    <row r="351" customFormat="false" ht="15" hidden="false" customHeight="true" outlineLevel="0" collapsed="false">
      <c r="A351" s="38"/>
      <c r="B351" s="38"/>
      <c r="C351" s="38"/>
      <c r="D351" s="38"/>
      <c r="E351" s="13"/>
      <c r="F351" s="13"/>
      <c r="G351" s="67"/>
      <c r="H351" s="67"/>
      <c r="I351" s="67"/>
      <c r="J351" s="67"/>
      <c r="K351" s="38"/>
      <c r="L351" s="38"/>
      <c r="M351" s="66" t="str">
        <f aca="false">IF(OR($D351="",$F351=""),"",IF(COUNTIFS($D$7:$D351,$D351,$F$7:$F351,$F351)=1,1,0))</f>
        <v/>
      </c>
    </row>
    <row r="352" customFormat="false" ht="15" hidden="false" customHeight="true" outlineLevel="0" collapsed="false">
      <c r="A352" s="56"/>
      <c r="B352" s="56"/>
      <c r="C352" s="56"/>
      <c r="D352" s="56"/>
      <c r="E352" s="16"/>
      <c r="F352" s="16"/>
      <c r="G352" s="67"/>
      <c r="H352" s="67"/>
      <c r="I352" s="67"/>
      <c r="J352" s="67"/>
      <c r="K352" s="56"/>
      <c r="L352" s="56"/>
      <c r="M352" s="66" t="str">
        <f aca="false">IF(OR($D352="",$F352=""),"",IF(COUNTIFS($D$7:$D352,$D352,$F$7:$F352,$F352)=1,1,0))</f>
        <v/>
      </c>
    </row>
    <row r="353" customFormat="false" ht="15" hidden="false" customHeight="true" outlineLevel="0" collapsed="false">
      <c r="A353" s="38"/>
      <c r="B353" s="38"/>
      <c r="C353" s="38"/>
      <c r="D353" s="38"/>
      <c r="E353" s="13"/>
      <c r="F353" s="13"/>
      <c r="G353" s="67"/>
      <c r="H353" s="67"/>
      <c r="I353" s="67"/>
      <c r="J353" s="67"/>
      <c r="K353" s="38"/>
      <c r="L353" s="38"/>
      <c r="M353" s="66" t="str">
        <f aca="false">IF(OR($D353="",$F353=""),"",IF(COUNTIFS($D$7:$D353,$D353,$F$7:$F353,$F353)=1,1,0))</f>
        <v/>
      </c>
    </row>
    <row r="354" customFormat="false" ht="15" hidden="false" customHeight="true" outlineLevel="0" collapsed="false">
      <c r="A354" s="56"/>
      <c r="B354" s="56"/>
      <c r="C354" s="56"/>
      <c r="D354" s="56"/>
      <c r="E354" s="16"/>
      <c r="F354" s="16"/>
      <c r="G354" s="67"/>
      <c r="H354" s="67"/>
      <c r="I354" s="67"/>
      <c r="J354" s="67"/>
      <c r="K354" s="56"/>
      <c r="L354" s="56"/>
      <c r="M354" s="66" t="str">
        <f aca="false">IF(OR($D354="",$F354=""),"",IF(COUNTIFS($D$7:$D354,$D354,$F$7:$F354,$F354)=1,1,0))</f>
        <v/>
      </c>
    </row>
    <row r="355" customFormat="false" ht="15" hidden="false" customHeight="true" outlineLevel="0" collapsed="false">
      <c r="A355" s="38"/>
      <c r="B355" s="38"/>
      <c r="C355" s="38"/>
      <c r="D355" s="38"/>
      <c r="E355" s="13"/>
      <c r="F355" s="13"/>
      <c r="G355" s="67"/>
      <c r="H355" s="67"/>
      <c r="I355" s="67"/>
      <c r="J355" s="67"/>
      <c r="K355" s="38"/>
      <c r="L355" s="38"/>
      <c r="M355" s="66" t="str">
        <f aca="false">IF(OR($D355="",$F355=""),"",IF(COUNTIFS($D$7:$D355,$D355,$F$7:$F355,$F355)=1,1,0))</f>
        <v/>
      </c>
    </row>
    <row r="356" customFormat="false" ht="15" hidden="false" customHeight="true" outlineLevel="0" collapsed="false">
      <c r="A356" s="56"/>
      <c r="B356" s="56"/>
      <c r="C356" s="56"/>
      <c r="D356" s="56"/>
      <c r="E356" s="16"/>
      <c r="F356" s="16"/>
      <c r="G356" s="67"/>
      <c r="H356" s="67"/>
      <c r="I356" s="67"/>
      <c r="J356" s="67"/>
      <c r="K356" s="56"/>
      <c r="L356" s="56"/>
      <c r="M356" s="66" t="str">
        <f aca="false">IF(OR($D356="",$F356=""),"",IF(COUNTIFS($D$7:$D356,$D356,$F$7:$F356,$F356)=1,1,0))</f>
        <v/>
      </c>
    </row>
    <row r="357" customFormat="false" ht="15" hidden="false" customHeight="true" outlineLevel="0" collapsed="false">
      <c r="A357" s="38"/>
      <c r="B357" s="38"/>
      <c r="C357" s="38"/>
      <c r="D357" s="38"/>
      <c r="E357" s="13"/>
      <c r="F357" s="13"/>
      <c r="G357" s="67"/>
      <c r="H357" s="67"/>
      <c r="I357" s="67"/>
      <c r="J357" s="67"/>
      <c r="K357" s="38"/>
      <c r="L357" s="38"/>
      <c r="M357" s="66" t="str">
        <f aca="false">IF(OR($D357="",$F357=""),"",IF(COUNTIFS($D$7:$D357,$D357,$F$7:$F357,$F357)=1,1,0))</f>
        <v/>
      </c>
    </row>
    <row r="358" customFormat="false" ht="15" hidden="false" customHeight="true" outlineLevel="0" collapsed="false">
      <c r="A358" s="56"/>
      <c r="B358" s="56"/>
      <c r="C358" s="56"/>
      <c r="D358" s="56"/>
      <c r="E358" s="16"/>
      <c r="F358" s="16"/>
      <c r="G358" s="67"/>
      <c r="H358" s="67"/>
      <c r="I358" s="67"/>
      <c r="J358" s="67"/>
      <c r="K358" s="56"/>
      <c r="L358" s="56"/>
      <c r="M358" s="66" t="str">
        <f aca="false">IF(OR($D358="",$F358=""),"",IF(COUNTIFS($D$7:$D358,$D358,$F$7:$F358,$F358)=1,1,0))</f>
        <v/>
      </c>
    </row>
    <row r="359" customFormat="false" ht="15" hidden="false" customHeight="true" outlineLevel="0" collapsed="false">
      <c r="A359" s="38"/>
      <c r="B359" s="38"/>
      <c r="C359" s="38"/>
      <c r="D359" s="38"/>
      <c r="E359" s="13"/>
      <c r="F359" s="13"/>
      <c r="G359" s="67"/>
      <c r="H359" s="67"/>
      <c r="I359" s="67"/>
      <c r="J359" s="67"/>
      <c r="K359" s="38"/>
      <c r="L359" s="38"/>
      <c r="M359" s="66" t="str">
        <f aca="false">IF(OR($D359="",$F359=""),"",IF(COUNTIFS($D$7:$D359,$D359,$F$7:$F359,$F359)=1,1,0))</f>
        <v/>
      </c>
    </row>
    <row r="360" customFormat="false" ht="15" hidden="false" customHeight="true" outlineLevel="0" collapsed="false">
      <c r="A360" s="56"/>
      <c r="B360" s="56"/>
      <c r="C360" s="56"/>
      <c r="D360" s="56"/>
      <c r="E360" s="16"/>
      <c r="F360" s="16"/>
      <c r="G360" s="67"/>
      <c r="H360" s="67"/>
      <c r="I360" s="67"/>
      <c r="J360" s="67"/>
      <c r="K360" s="56"/>
      <c r="L360" s="56"/>
      <c r="M360" s="66" t="str">
        <f aca="false">IF(OR($D360="",$F360=""),"",IF(COUNTIFS($D$7:$D360,$D360,$F$7:$F360,$F360)=1,1,0))</f>
        <v/>
      </c>
    </row>
    <row r="361" customFormat="false" ht="15" hidden="false" customHeight="true" outlineLevel="0" collapsed="false">
      <c r="A361" s="38"/>
      <c r="B361" s="38"/>
      <c r="C361" s="38"/>
      <c r="D361" s="38"/>
      <c r="E361" s="13"/>
      <c r="F361" s="13"/>
      <c r="G361" s="67"/>
      <c r="H361" s="67"/>
      <c r="I361" s="67"/>
      <c r="J361" s="67"/>
      <c r="K361" s="38"/>
      <c r="L361" s="38"/>
      <c r="M361" s="66" t="str">
        <f aca="false">IF(OR($D361="",$F361=""),"",IF(COUNTIFS($D$7:$D361,$D361,$F$7:$F361,$F361)=1,1,0))</f>
        <v/>
      </c>
    </row>
    <row r="362" customFormat="false" ht="15" hidden="false" customHeight="true" outlineLevel="0" collapsed="false">
      <c r="A362" s="56"/>
      <c r="B362" s="56"/>
      <c r="C362" s="56"/>
      <c r="D362" s="56"/>
      <c r="E362" s="16"/>
      <c r="F362" s="16"/>
      <c r="G362" s="67"/>
      <c r="H362" s="67"/>
      <c r="I362" s="67"/>
      <c r="J362" s="67"/>
      <c r="K362" s="56"/>
      <c r="L362" s="56"/>
      <c r="M362" s="66" t="str">
        <f aca="false">IF(OR($D362="",$F362=""),"",IF(COUNTIFS($D$7:$D362,$D362,$F$7:$F362,$F362)=1,1,0))</f>
        <v/>
      </c>
    </row>
    <row r="363" customFormat="false" ht="15" hidden="false" customHeight="true" outlineLevel="0" collapsed="false">
      <c r="A363" s="38"/>
      <c r="B363" s="38"/>
      <c r="C363" s="38"/>
      <c r="D363" s="38"/>
      <c r="E363" s="13"/>
      <c r="F363" s="13"/>
      <c r="G363" s="67"/>
      <c r="H363" s="67"/>
      <c r="I363" s="67"/>
      <c r="J363" s="67"/>
      <c r="K363" s="38"/>
      <c r="L363" s="38"/>
      <c r="M363" s="66" t="str">
        <f aca="false">IF(OR($D363="",$F363=""),"",IF(COUNTIFS($D$7:$D363,$D363,$F$7:$F363,$F363)=1,1,0))</f>
        <v/>
      </c>
    </row>
    <row r="364" customFormat="false" ht="15" hidden="false" customHeight="true" outlineLevel="0" collapsed="false">
      <c r="A364" s="56"/>
      <c r="B364" s="56"/>
      <c r="C364" s="56"/>
      <c r="D364" s="56"/>
      <c r="E364" s="16"/>
      <c r="F364" s="16"/>
      <c r="G364" s="67"/>
      <c r="H364" s="67"/>
      <c r="I364" s="67"/>
      <c r="J364" s="67"/>
      <c r="K364" s="56"/>
      <c r="L364" s="56"/>
      <c r="M364" s="66" t="str">
        <f aca="false">IF(OR($D364="",$F364=""),"",IF(COUNTIFS($D$7:$D364,$D364,$F$7:$F364,$F364)=1,1,0))</f>
        <v/>
      </c>
    </row>
    <row r="365" customFormat="false" ht="15" hidden="false" customHeight="true" outlineLevel="0" collapsed="false">
      <c r="A365" s="38"/>
      <c r="B365" s="38"/>
      <c r="C365" s="38"/>
      <c r="D365" s="38"/>
      <c r="E365" s="13"/>
      <c r="F365" s="13"/>
      <c r="G365" s="67"/>
      <c r="H365" s="67"/>
      <c r="I365" s="67"/>
      <c r="J365" s="67"/>
      <c r="K365" s="38"/>
      <c r="L365" s="38"/>
      <c r="M365" s="66" t="str">
        <f aca="false">IF(OR($D365="",$F365=""),"",IF(COUNTIFS($D$7:$D365,$D365,$F$7:$F365,$F365)=1,1,0))</f>
        <v/>
      </c>
    </row>
    <row r="366" customFormat="false" ht="15" hidden="false" customHeight="true" outlineLevel="0" collapsed="false">
      <c r="A366" s="56"/>
      <c r="B366" s="56"/>
      <c r="C366" s="56"/>
      <c r="D366" s="56"/>
      <c r="E366" s="16"/>
      <c r="F366" s="16"/>
      <c r="G366" s="67"/>
      <c r="H366" s="67"/>
      <c r="I366" s="67"/>
      <c r="J366" s="67"/>
      <c r="K366" s="56"/>
      <c r="L366" s="56"/>
      <c r="M366" s="66" t="str">
        <f aca="false">IF(OR($D366="",$F366=""),"",IF(COUNTIFS($D$7:$D366,$D366,$F$7:$F366,$F366)=1,1,0))</f>
        <v/>
      </c>
    </row>
    <row r="367" customFormat="false" ht="15" hidden="false" customHeight="true" outlineLevel="0" collapsed="false">
      <c r="A367" s="38"/>
      <c r="B367" s="38"/>
      <c r="C367" s="38"/>
      <c r="D367" s="38"/>
      <c r="E367" s="13"/>
      <c r="F367" s="13"/>
      <c r="G367" s="67"/>
      <c r="H367" s="67"/>
      <c r="I367" s="67"/>
      <c r="J367" s="67"/>
      <c r="K367" s="38"/>
      <c r="L367" s="38"/>
      <c r="M367" s="66" t="str">
        <f aca="false">IF(OR($D367="",$F367=""),"",IF(COUNTIFS($D$7:$D367,$D367,$F$7:$F367,$F367)=1,1,0))</f>
        <v/>
      </c>
    </row>
    <row r="368" customFormat="false" ht="15" hidden="false" customHeight="true" outlineLevel="0" collapsed="false">
      <c r="A368" s="56"/>
      <c r="B368" s="56"/>
      <c r="C368" s="56"/>
      <c r="D368" s="56"/>
      <c r="E368" s="16"/>
      <c r="F368" s="16"/>
      <c r="G368" s="67"/>
      <c r="H368" s="67"/>
      <c r="I368" s="67"/>
      <c r="J368" s="67"/>
      <c r="K368" s="56"/>
      <c r="L368" s="56"/>
      <c r="M368" s="66" t="str">
        <f aca="false">IF(OR($D368="",$F368=""),"",IF(COUNTIFS($D$7:$D368,$D368,$F$7:$F368,$F368)=1,1,0))</f>
        <v/>
      </c>
    </row>
    <row r="369" customFormat="false" ht="15" hidden="false" customHeight="true" outlineLevel="0" collapsed="false">
      <c r="A369" s="38"/>
      <c r="B369" s="38"/>
      <c r="C369" s="38"/>
      <c r="D369" s="38"/>
      <c r="E369" s="13"/>
      <c r="F369" s="13"/>
      <c r="G369" s="67"/>
      <c r="H369" s="67"/>
      <c r="I369" s="67"/>
      <c r="J369" s="67"/>
      <c r="K369" s="38"/>
      <c r="L369" s="38"/>
      <c r="M369" s="66" t="str">
        <f aca="false">IF(OR($D369="",$F369=""),"",IF(COUNTIFS($D$7:$D369,$D369,$F$7:$F369,$F369)=1,1,0))</f>
        <v/>
      </c>
    </row>
    <row r="370" customFormat="false" ht="15" hidden="false" customHeight="true" outlineLevel="0" collapsed="false">
      <c r="A370" s="56"/>
      <c r="B370" s="56"/>
      <c r="C370" s="56"/>
      <c r="D370" s="56"/>
      <c r="E370" s="16"/>
      <c r="F370" s="16"/>
      <c r="G370" s="67"/>
      <c r="H370" s="67"/>
      <c r="I370" s="67"/>
      <c r="J370" s="67"/>
      <c r="K370" s="56"/>
      <c r="L370" s="56"/>
      <c r="M370" s="66" t="str">
        <f aca="false">IF(OR($D370="",$F370=""),"",IF(COUNTIFS($D$7:$D370,$D370,$F$7:$F370,$F370)=1,1,0))</f>
        <v/>
      </c>
    </row>
    <row r="371" customFormat="false" ht="15" hidden="false" customHeight="true" outlineLevel="0" collapsed="false">
      <c r="A371" s="38"/>
      <c r="B371" s="38"/>
      <c r="C371" s="38"/>
      <c r="D371" s="38"/>
      <c r="E371" s="13"/>
      <c r="F371" s="13"/>
      <c r="G371" s="67"/>
      <c r="H371" s="67"/>
      <c r="I371" s="67"/>
      <c r="J371" s="67"/>
      <c r="K371" s="38"/>
      <c r="L371" s="38"/>
      <c r="M371" s="66" t="str">
        <f aca="false">IF(OR($D371="",$F371=""),"",IF(COUNTIFS($D$7:$D371,$D371,$F$7:$F371,$F371)=1,1,0))</f>
        <v/>
      </c>
    </row>
    <row r="372" customFormat="false" ht="15" hidden="false" customHeight="true" outlineLevel="0" collapsed="false">
      <c r="A372" s="56"/>
      <c r="B372" s="56"/>
      <c r="C372" s="56"/>
      <c r="D372" s="56"/>
      <c r="E372" s="16"/>
      <c r="F372" s="16"/>
      <c r="G372" s="67"/>
      <c r="H372" s="67"/>
      <c r="I372" s="67"/>
      <c r="J372" s="67"/>
      <c r="K372" s="56"/>
      <c r="L372" s="56"/>
      <c r="M372" s="66" t="str">
        <f aca="false">IF(OR($D372="",$F372=""),"",IF(COUNTIFS($D$7:$D372,$D372,$F$7:$F372,$F372)=1,1,0))</f>
        <v/>
      </c>
    </row>
    <row r="373" customFormat="false" ht="15" hidden="false" customHeight="true" outlineLevel="0" collapsed="false">
      <c r="A373" s="38"/>
      <c r="B373" s="38"/>
      <c r="C373" s="38"/>
      <c r="D373" s="38"/>
      <c r="E373" s="13"/>
      <c r="F373" s="13"/>
      <c r="G373" s="67"/>
      <c r="H373" s="67"/>
      <c r="I373" s="67"/>
      <c r="J373" s="67"/>
      <c r="K373" s="38"/>
      <c r="L373" s="38"/>
      <c r="M373" s="66" t="str">
        <f aca="false">IF(OR($D373="",$F373=""),"",IF(COUNTIFS($D$7:$D373,$D373,$F$7:$F373,$F373)=1,1,0))</f>
        <v/>
      </c>
    </row>
    <row r="374" customFormat="false" ht="15" hidden="false" customHeight="true" outlineLevel="0" collapsed="false">
      <c r="A374" s="56"/>
      <c r="B374" s="56"/>
      <c r="C374" s="56"/>
      <c r="D374" s="56"/>
      <c r="E374" s="16"/>
      <c r="F374" s="16"/>
      <c r="G374" s="67"/>
      <c r="H374" s="67"/>
      <c r="I374" s="67"/>
      <c r="J374" s="67"/>
      <c r="K374" s="56"/>
      <c r="L374" s="56"/>
      <c r="M374" s="66" t="str">
        <f aca="false">IF(OR($D374="",$F374=""),"",IF(COUNTIFS($D$7:$D374,$D374,$F$7:$F374,$F374)=1,1,0))</f>
        <v/>
      </c>
    </row>
    <row r="375" customFormat="false" ht="15" hidden="false" customHeight="true" outlineLevel="0" collapsed="false">
      <c r="A375" s="38"/>
      <c r="B375" s="38"/>
      <c r="C375" s="38"/>
      <c r="D375" s="38"/>
      <c r="E375" s="13"/>
      <c r="F375" s="13"/>
      <c r="G375" s="67"/>
      <c r="H375" s="67"/>
      <c r="I375" s="67"/>
      <c r="J375" s="67"/>
      <c r="K375" s="38"/>
      <c r="L375" s="38"/>
      <c r="M375" s="66" t="str">
        <f aca="false">IF(OR($D375="",$F375=""),"",IF(COUNTIFS($D$7:$D375,$D375,$F$7:$F375,$F375)=1,1,0))</f>
        <v/>
      </c>
    </row>
    <row r="376" customFormat="false" ht="15" hidden="false" customHeight="true" outlineLevel="0" collapsed="false">
      <c r="A376" s="56"/>
      <c r="B376" s="56"/>
      <c r="C376" s="56"/>
      <c r="D376" s="56"/>
      <c r="E376" s="16"/>
      <c r="F376" s="16"/>
      <c r="G376" s="67"/>
      <c r="H376" s="67"/>
      <c r="I376" s="67"/>
      <c r="J376" s="67"/>
      <c r="K376" s="56"/>
      <c r="L376" s="56"/>
      <c r="M376" s="66" t="str">
        <f aca="false">IF(OR($D376="",$F376=""),"",IF(COUNTIFS($D$7:$D376,$D376,$F$7:$F376,$F376)=1,1,0))</f>
        <v/>
      </c>
    </row>
    <row r="377" customFormat="false" ht="15" hidden="false" customHeight="true" outlineLevel="0" collapsed="false">
      <c r="A377" s="38"/>
      <c r="B377" s="38"/>
      <c r="C377" s="38"/>
      <c r="D377" s="38"/>
      <c r="E377" s="13"/>
      <c r="F377" s="13"/>
      <c r="G377" s="67"/>
      <c r="H377" s="67"/>
      <c r="I377" s="67"/>
      <c r="J377" s="67"/>
      <c r="K377" s="38"/>
      <c r="L377" s="38"/>
      <c r="M377" s="66" t="str">
        <f aca="false">IF(OR($D377="",$F377=""),"",IF(COUNTIFS($D$7:$D377,$D377,$F$7:$F377,$F377)=1,1,0))</f>
        <v/>
      </c>
    </row>
    <row r="378" customFormat="false" ht="15" hidden="false" customHeight="true" outlineLevel="0" collapsed="false">
      <c r="A378" s="56"/>
      <c r="B378" s="56"/>
      <c r="C378" s="56"/>
      <c r="D378" s="56"/>
      <c r="E378" s="16"/>
      <c r="F378" s="16"/>
      <c r="G378" s="67"/>
      <c r="H378" s="67"/>
      <c r="I378" s="67"/>
      <c r="J378" s="67"/>
      <c r="K378" s="56"/>
      <c r="L378" s="56"/>
      <c r="M378" s="66" t="str">
        <f aca="false">IF(OR($D378="",$F378=""),"",IF(COUNTIFS($D$7:$D378,$D378,$F$7:$F378,$F378)=1,1,0))</f>
        <v/>
      </c>
    </row>
    <row r="379" customFormat="false" ht="15" hidden="false" customHeight="true" outlineLevel="0" collapsed="false">
      <c r="A379" s="38"/>
      <c r="B379" s="38"/>
      <c r="C379" s="38"/>
      <c r="D379" s="38"/>
      <c r="E379" s="13"/>
      <c r="F379" s="13"/>
      <c r="G379" s="67"/>
      <c r="H379" s="67"/>
      <c r="I379" s="67"/>
      <c r="J379" s="67"/>
      <c r="K379" s="38"/>
      <c r="L379" s="38"/>
      <c r="M379" s="66" t="str">
        <f aca="false">IF(OR($D379="",$F379=""),"",IF(COUNTIFS($D$7:$D379,$D379,$F$7:$F379,$F379)=1,1,0))</f>
        <v/>
      </c>
    </row>
    <row r="380" customFormat="false" ht="15" hidden="false" customHeight="true" outlineLevel="0" collapsed="false">
      <c r="A380" s="56"/>
      <c r="B380" s="56"/>
      <c r="C380" s="56"/>
      <c r="D380" s="56"/>
      <c r="E380" s="16"/>
      <c r="F380" s="16"/>
      <c r="G380" s="67"/>
      <c r="H380" s="67"/>
      <c r="I380" s="67"/>
      <c r="J380" s="67"/>
      <c r="K380" s="56"/>
      <c r="L380" s="56"/>
      <c r="M380" s="66" t="str">
        <f aca="false">IF(OR($D380="",$F380=""),"",IF(COUNTIFS($D$7:$D380,$D380,$F$7:$F380,$F380)=1,1,0))</f>
        <v/>
      </c>
    </row>
    <row r="381" customFormat="false" ht="15" hidden="false" customHeight="true" outlineLevel="0" collapsed="false">
      <c r="A381" s="38"/>
      <c r="B381" s="38"/>
      <c r="C381" s="38"/>
      <c r="D381" s="38"/>
      <c r="E381" s="13"/>
      <c r="F381" s="13"/>
      <c r="G381" s="67"/>
      <c r="H381" s="67"/>
      <c r="I381" s="67"/>
      <c r="J381" s="67"/>
      <c r="K381" s="38"/>
      <c r="L381" s="38"/>
      <c r="M381" s="66" t="str">
        <f aca="false">IF(OR($D381="",$F381=""),"",IF(COUNTIFS($D$7:$D381,$D381,$F$7:$F381,$F381)=1,1,0))</f>
        <v/>
      </c>
    </row>
    <row r="382" customFormat="false" ht="15" hidden="false" customHeight="true" outlineLevel="0" collapsed="false">
      <c r="A382" s="56"/>
      <c r="B382" s="56"/>
      <c r="C382" s="56"/>
      <c r="D382" s="56"/>
      <c r="E382" s="16"/>
      <c r="F382" s="16"/>
      <c r="G382" s="67"/>
      <c r="H382" s="67"/>
      <c r="I382" s="67"/>
      <c r="J382" s="67"/>
      <c r="K382" s="56"/>
      <c r="L382" s="56"/>
      <c r="M382" s="66" t="str">
        <f aca="false">IF(OR($D382="",$F382=""),"",IF(COUNTIFS($D$7:$D382,$D382,$F$7:$F382,$F382)=1,1,0))</f>
        <v/>
      </c>
    </row>
    <row r="383" customFormat="false" ht="15" hidden="false" customHeight="true" outlineLevel="0" collapsed="false">
      <c r="A383" s="38"/>
      <c r="B383" s="38"/>
      <c r="C383" s="38"/>
      <c r="D383" s="38"/>
      <c r="E383" s="13"/>
      <c r="F383" s="13"/>
      <c r="G383" s="67"/>
      <c r="H383" s="67"/>
      <c r="I383" s="67"/>
      <c r="J383" s="67"/>
      <c r="K383" s="38"/>
      <c r="L383" s="38"/>
      <c r="M383" s="66" t="str">
        <f aca="false">IF(OR($D383="",$F383=""),"",IF(COUNTIFS($D$7:$D383,$D383,$F$7:$F383,$F383)=1,1,0))</f>
        <v/>
      </c>
    </row>
    <row r="384" customFormat="false" ht="15" hidden="false" customHeight="true" outlineLevel="0" collapsed="false">
      <c r="A384" s="56"/>
      <c r="B384" s="56"/>
      <c r="C384" s="56"/>
      <c r="D384" s="56"/>
      <c r="E384" s="16"/>
      <c r="F384" s="16"/>
      <c r="G384" s="67"/>
      <c r="H384" s="67"/>
      <c r="I384" s="67"/>
      <c r="J384" s="67"/>
      <c r="K384" s="56"/>
      <c r="L384" s="56"/>
      <c r="M384" s="66" t="str">
        <f aca="false">IF(OR($D384="",$F384=""),"",IF(COUNTIFS($D$7:$D384,$D384,$F$7:$F384,$F384)=1,1,0))</f>
        <v/>
      </c>
    </row>
    <row r="385" customFormat="false" ht="15" hidden="false" customHeight="true" outlineLevel="0" collapsed="false">
      <c r="A385" s="38"/>
      <c r="B385" s="38"/>
      <c r="C385" s="38"/>
      <c r="D385" s="38"/>
      <c r="E385" s="13"/>
      <c r="F385" s="13"/>
      <c r="G385" s="67"/>
      <c r="H385" s="67"/>
      <c r="I385" s="67"/>
      <c r="J385" s="67"/>
      <c r="K385" s="38"/>
      <c r="L385" s="38"/>
      <c r="M385" s="66" t="str">
        <f aca="false">IF(OR($D385="",$F385=""),"",IF(COUNTIFS($D$7:$D385,$D385,$F$7:$F385,$F385)=1,1,0))</f>
        <v/>
      </c>
    </row>
    <row r="386" customFormat="false" ht="15" hidden="false" customHeight="true" outlineLevel="0" collapsed="false">
      <c r="A386" s="56"/>
      <c r="B386" s="56"/>
      <c r="C386" s="56"/>
      <c r="D386" s="56"/>
      <c r="E386" s="16"/>
      <c r="F386" s="16"/>
      <c r="G386" s="67"/>
      <c r="H386" s="67"/>
      <c r="I386" s="67"/>
      <c r="J386" s="67"/>
      <c r="K386" s="56"/>
      <c r="L386" s="56"/>
      <c r="M386" s="66" t="str">
        <f aca="false">IF(OR($D386="",$F386=""),"",IF(COUNTIFS($D$7:$D386,$D386,$F$7:$F386,$F386)=1,1,0))</f>
        <v/>
      </c>
    </row>
    <row r="387" customFormat="false" ht="15" hidden="false" customHeight="true" outlineLevel="0" collapsed="false">
      <c r="A387" s="38"/>
      <c r="B387" s="38"/>
      <c r="C387" s="38"/>
      <c r="D387" s="38"/>
      <c r="E387" s="13"/>
      <c r="F387" s="13"/>
      <c r="G387" s="67"/>
      <c r="H387" s="67"/>
      <c r="I387" s="67"/>
      <c r="J387" s="67"/>
      <c r="K387" s="38"/>
      <c r="L387" s="38"/>
      <c r="M387" s="66" t="str">
        <f aca="false">IF(OR($D387="",$F387=""),"",IF(COUNTIFS($D$7:$D387,$D387,$F$7:$F387,$F387)=1,1,0))</f>
        <v/>
      </c>
    </row>
    <row r="388" customFormat="false" ht="15" hidden="false" customHeight="true" outlineLevel="0" collapsed="false">
      <c r="A388" s="56"/>
      <c r="B388" s="56"/>
      <c r="C388" s="56"/>
      <c r="D388" s="56"/>
      <c r="E388" s="16"/>
      <c r="F388" s="16"/>
      <c r="G388" s="67"/>
      <c r="H388" s="67"/>
      <c r="I388" s="67"/>
      <c r="J388" s="67"/>
      <c r="K388" s="56"/>
      <c r="L388" s="56"/>
      <c r="M388" s="66" t="str">
        <f aca="false">IF(OR($D388="",$F388=""),"",IF(COUNTIFS($D$7:$D388,$D388,$F$7:$F388,$F388)=1,1,0))</f>
        <v/>
      </c>
    </row>
    <row r="389" customFormat="false" ht="15" hidden="false" customHeight="true" outlineLevel="0" collapsed="false">
      <c r="A389" s="38"/>
      <c r="B389" s="38"/>
      <c r="C389" s="38"/>
      <c r="D389" s="38"/>
      <c r="E389" s="13"/>
      <c r="F389" s="13"/>
      <c r="G389" s="67"/>
      <c r="H389" s="67"/>
      <c r="I389" s="67"/>
      <c r="J389" s="67"/>
      <c r="K389" s="38"/>
      <c r="L389" s="38"/>
      <c r="M389" s="66" t="str">
        <f aca="false">IF(OR($D389="",$F389=""),"",IF(COUNTIFS($D$7:$D389,$D389,$F$7:$F389,$F389)=1,1,0))</f>
        <v/>
      </c>
    </row>
    <row r="390" customFormat="false" ht="15" hidden="false" customHeight="true" outlineLevel="0" collapsed="false">
      <c r="A390" s="56"/>
      <c r="B390" s="56"/>
      <c r="C390" s="56"/>
      <c r="D390" s="56"/>
      <c r="E390" s="16"/>
      <c r="F390" s="16"/>
      <c r="G390" s="67"/>
      <c r="H390" s="67"/>
      <c r="I390" s="67"/>
      <c r="J390" s="67"/>
      <c r="K390" s="56"/>
      <c r="L390" s="56"/>
      <c r="M390" s="66" t="str">
        <f aca="false">IF(OR($D390="",$F390=""),"",IF(COUNTIFS($D$7:$D390,$D390,$F$7:$F390,$F390)=1,1,0))</f>
        <v/>
      </c>
    </row>
    <row r="391" customFormat="false" ht="15" hidden="false" customHeight="true" outlineLevel="0" collapsed="false">
      <c r="A391" s="38"/>
      <c r="B391" s="38"/>
      <c r="C391" s="38"/>
      <c r="D391" s="38"/>
      <c r="E391" s="13"/>
      <c r="F391" s="13"/>
      <c r="G391" s="67"/>
      <c r="H391" s="67"/>
      <c r="I391" s="67"/>
      <c r="J391" s="67"/>
      <c r="K391" s="38"/>
      <c r="L391" s="38"/>
      <c r="M391" s="66" t="str">
        <f aca="false">IF(OR($D391="",$F391=""),"",IF(COUNTIFS($D$7:$D391,$D391,$F$7:$F391,$F391)=1,1,0))</f>
        <v/>
      </c>
    </row>
    <row r="392" customFormat="false" ht="15" hidden="false" customHeight="true" outlineLevel="0" collapsed="false">
      <c r="A392" s="56"/>
      <c r="B392" s="56"/>
      <c r="C392" s="56"/>
      <c r="D392" s="56"/>
      <c r="E392" s="16"/>
      <c r="F392" s="16"/>
      <c r="G392" s="67"/>
      <c r="H392" s="67"/>
      <c r="I392" s="67"/>
      <c r="J392" s="67"/>
      <c r="K392" s="56"/>
      <c r="L392" s="56"/>
      <c r="M392" s="66" t="str">
        <f aca="false">IF(OR($D392="",$F392=""),"",IF(COUNTIFS($D$7:$D392,$D392,$F$7:$F392,$F392)=1,1,0))</f>
        <v/>
      </c>
    </row>
    <row r="393" customFormat="false" ht="15" hidden="false" customHeight="true" outlineLevel="0" collapsed="false">
      <c r="A393" s="38"/>
      <c r="B393" s="38"/>
      <c r="C393" s="38"/>
      <c r="D393" s="38"/>
      <c r="E393" s="13"/>
      <c r="F393" s="13"/>
      <c r="G393" s="67"/>
      <c r="H393" s="67"/>
      <c r="I393" s="67"/>
      <c r="J393" s="67"/>
      <c r="K393" s="38"/>
      <c r="L393" s="38"/>
      <c r="M393" s="66" t="str">
        <f aca="false">IF(OR($D393="",$F393=""),"",IF(COUNTIFS($D$7:$D393,$D393,$F$7:$F393,$F393)=1,1,0))</f>
        <v/>
      </c>
    </row>
    <row r="394" customFormat="false" ht="15" hidden="false" customHeight="true" outlineLevel="0" collapsed="false">
      <c r="A394" s="56"/>
      <c r="B394" s="56"/>
      <c r="C394" s="56"/>
      <c r="D394" s="56"/>
      <c r="E394" s="16"/>
      <c r="F394" s="16"/>
      <c r="G394" s="67"/>
      <c r="H394" s="67"/>
      <c r="I394" s="67"/>
      <c r="J394" s="67"/>
      <c r="K394" s="56"/>
      <c r="L394" s="56"/>
      <c r="M394" s="66" t="str">
        <f aca="false">IF(OR($D394="",$F394=""),"",IF(COUNTIFS($D$7:$D394,$D394,$F$7:$F394,$F394)=1,1,0))</f>
        <v/>
      </c>
    </row>
    <row r="395" customFormat="false" ht="15" hidden="false" customHeight="true" outlineLevel="0" collapsed="false">
      <c r="A395" s="38"/>
      <c r="B395" s="38"/>
      <c r="C395" s="38"/>
      <c r="D395" s="38"/>
      <c r="E395" s="13"/>
      <c r="F395" s="13"/>
      <c r="G395" s="67"/>
      <c r="H395" s="67"/>
      <c r="I395" s="67"/>
      <c r="J395" s="67"/>
      <c r="K395" s="38"/>
      <c r="L395" s="38"/>
      <c r="M395" s="66" t="str">
        <f aca="false">IF(OR($D395="",$F395=""),"",IF(COUNTIFS($D$7:$D395,$D395,$F$7:$F395,$F395)=1,1,0))</f>
        <v/>
      </c>
    </row>
    <row r="396" customFormat="false" ht="15" hidden="false" customHeight="true" outlineLevel="0" collapsed="false">
      <c r="A396" s="56"/>
      <c r="B396" s="56"/>
      <c r="C396" s="56"/>
      <c r="D396" s="56"/>
      <c r="E396" s="16"/>
      <c r="F396" s="16"/>
      <c r="G396" s="67"/>
      <c r="H396" s="67"/>
      <c r="I396" s="67"/>
      <c r="J396" s="67"/>
      <c r="K396" s="56"/>
      <c r="L396" s="56"/>
      <c r="M396" s="66" t="str">
        <f aca="false">IF(OR($D396="",$F396=""),"",IF(COUNTIFS($D$7:$D396,$D396,$F$7:$F396,$F396)=1,1,0))</f>
        <v/>
      </c>
    </row>
    <row r="397" customFormat="false" ht="15" hidden="false" customHeight="true" outlineLevel="0" collapsed="false">
      <c r="A397" s="38"/>
      <c r="B397" s="38"/>
      <c r="C397" s="38"/>
      <c r="D397" s="38"/>
      <c r="E397" s="13"/>
      <c r="F397" s="13"/>
      <c r="G397" s="67"/>
      <c r="H397" s="67"/>
      <c r="I397" s="67"/>
      <c r="J397" s="67"/>
      <c r="K397" s="38"/>
      <c r="L397" s="38"/>
      <c r="M397" s="66" t="str">
        <f aca="false">IF(OR($D397="",$F397=""),"",IF(COUNTIFS($D$7:$D397,$D397,$F$7:$F397,$F397)=1,1,0))</f>
        <v/>
      </c>
    </row>
    <row r="398" customFormat="false" ht="15" hidden="false" customHeight="true" outlineLevel="0" collapsed="false">
      <c r="A398" s="56"/>
      <c r="B398" s="56"/>
      <c r="C398" s="56"/>
      <c r="D398" s="56"/>
      <c r="E398" s="16"/>
      <c r="F398" s="16"/>
      <c r="G398" s="67"/>
      <c r="H398" s="67"/>
      <c r="I398" s="67"/>
      <c r="J398" s="67"/>
      <c r="K398" s="56"/>
      <c r="L398" s="56"/>
      <c r="M398" s="66" t="str">
        <f aca="false">IF(OR($D398="",$F398=""),"",IF(COUNTIFS($D$7:$D398,$D398,$F$7:$F398,$F398)=1,1,0))</f>
        <v/>
      </c>
    </row>
    <row r="399" customFormat="false" ht="15" hidden="false" customHeight="true" outlineLevel="0" collapsed="false">
      <c r="A399" s="38"/>
      <c r="B399" s="38"/>
      <c r="C399" s="38"/>
      <c r="D399" s="38"/>
      <c r="E399" s="13"/>
      <c r="F399" s="13"/>
      <c r="G399" s="67"/>
      <c r="H399" s="67"/>
      <c r="I399" s="67"/>
      <c r="J399" s="67"/>
      <c r="K399" s="38"/>
      <c r="L399" s="38"/>
      <c r="M399" s="66" t="str">
        <f aca="false">IF(OR($D399="",$F399=""),"",IF(COUNTIFS($D$7:$D399,$D399,$F$7:$F399,$F399)=1,1,0))</f>
        <v/>
      </c>
    </row>
    <row r="400" customFormat="false" ht="15" hidden="false" customHeight="true" outlineLevel="0" collapsed="false">
      <c r="A400" s="56"/>
      <c r="B400" s="56"/>
      <c r="C400" s="56"/>
      <c r="D400" s="56"/>
      <c r="E400" s="16"/>
      <c r="F400" s="16"/>
      <c r="G400" s="67"/>
      <c r="H400" s="67"/>
      <c r="I400" s="67"/>
      <c r="J400" s="67"/>
      <c r="K400" s="56"/>
      <c r="L400" s="56"/>
      <c r="M400" s="66" t="str">
        <f aca="false">IF(OR($D400="",$F400=""),"",IF(COUNTIFS($D$7:$D400,$D400,$F$7:$F400,$F400)=1,1,0))</f>
        <v/>
      </c>
    </row>
    <row r="401" customFormat="false" ht="15" hidden="false" customHeight="true" outlineLevel="0" collapsed="false">
      <c r="A401" s="38"/>
      <c r="B401" s="38"/>
      <c r="C401" s="38"/>
      <c r="D401" s="38"/>
      <c r="E401" s="13"/>
      <c r="F401" s="13"/>
      <c r="G401" s="67"/>
      <c r="H401" s="67"/>
      <c r="I401" s="67"/>
      <c r="J401" s="67"/>
      <c r="K401" s="38"/>
      <c r="L401" s="38"/>
      <c r="M401" s="66" t="str">
        <f aca="false">IF(OR($D401="",$F401=""),"",IF(COUNTIFS($D$7:$D401,$D401,$F$7:$F401,$F401)=1,1,0))</f>
        <v/>
      </c>
    </row>
    <row r="402" customFormat="false" ht="15" hidden="false" customHeight="true" outlineLevel="0" collapsed="false">
      <c r="A402" s="56"/>
      <c r="B402" s="56"/>
      <c r="C402" s="56"/>
      <c r="D402" s="56"/>
      <c r="E402" s="16"/>
      <c r="F402" s="16"/>
      <c r="G402" s="67"/>
      <c r="H402" s="67"/>
      <c r="I402" s="67"/>
      <c r="J402" s="67"/>
      <c r="K402" s="56"/>
      <c r="L402" s="56"/>
      <c r="M402" s="66" t="str">
        <f aca="false">IF(OR($D402="",$F402=""),"",IF(COUNTIFS($D$7:$D402,$D402,$F$7:$F402,$F402)=1,1,0))</f>
        <v/>
      </c>
    </row>
    <row r="403" customFormat="false" ht="15" hidden="false" customHeight="true" outlineLevel="0" collapsed="false">
      <c r="A403" s="38"/>
      <c r="B403" s="38"/>
      <c r="C403" s="38"/>
      <c r="D403" s="38"/>
      <c r="E403" s="13"/>
      <c r="F403" s="13"/>
      <c r="G403" s="67"/>
      <c r="H403" s="67"/>
      <c r="I403" s="67"/>
      <c r="J403" s="67"/>
      <c r="K403" s="38"/>
      <c r="L403" s="38"/>
      <c r="M403" s="66" t="str">
        <f aca="false">IF(OR($D403="",$F403=""),"",IF(COUNTIFS($D$7:$D403,$D403,$F$7:$F403,$F403)=1,1,0))</f>
        <v/>
      </c>
    </row>
    <row r="404" customFormat="false" ht="15" hidden="false" customHeight="true" outlineLevel="0" collapsed="false">
      <c r="A404" s="56"/>
      <c r="B404" s="56"/>
      <c r="C404" s="56"/>
      <c r="D404" s="56"/>
      <c r="E404" s="16"/>
      <c r="F404" s="16"/>
      <c r="G404" s="67"/>
      <c r="H404" s="67"/>
      <c r="I404" s="67"/>
      <c r="J404" s="67"/>
      <c r="K404" s="56"/>
      <c r="L404" s="56"/>
      <c r="M404" s="66" t="str">
        <f aca="false">IF(OR($D404="",$F404=""),"",IF(COUNTIFS($D$7:$D404,$D404,$F$7:$F404,$F404)=1,1,0))</f>
        <v/>
      </c>
    </row>
    <row r="405" customFormat="false" ht="15" hidden="false" customHeight="true" outlineLevel="0" collapsed="false">
      <c r="A405" s="38"/>
      <c r="B405" s="38"/>
      <c r="C405" s="38"/>
      <c r="D405" s="38"/>
      <c r="E405" s="13"/>
      <c r="F405" s="13"/>
      <c r="G405" s="67"/>
      <c r="H405" s="67"/>
      <c r="I405" s="67"/>
      <c r="J405" s="67"/>
      <c r="K405" s="38"/>
      <c r="L405" s="38"/>
      <c r="M405" s="66" t="str">
        <f aca="false">IF(OR($D405="",$F405=""),"",IF(COUNTIFS($D$7:$D405,$D405,$F$7:$F405,$F405)=1,1,0))</f>
        <v/>
      </c>
    </row>
    <row r="406" customFormat="false" ht="15" hidden="false" customHeight="true" outlineLevel="0" collapsed="false">
      <c r="A406" s="56"/>
      <c r="B406" s="56"/>
      <c r="C406" s="56"/>
      <c r="D406" s="56"/>
      <c r="E406" s="16"/>
      <c r="F406" s="16"/>
      <c r="G406" s="67"/>
      <c r="H406" s="67"/>
      <c r="I406" s="67"/>
      <c r="J406" s="67"/>
      <c r="K406" s="56"/>
      <c r="L406" s="56"/>
      <c r="M406" s="66" t="str">
        <f aca="false">IF(OR($D406="",$F406=""),"",IF(COUNTIFS($D$7:$D406,$D406,$F$7:$F406,$F406)=1,1,0))</f>
        <v/>
      </c>
    </row>
    <row r="407" customFormat="false" ht="15" hidden="false" customHeight="true" outlineLevel="0" collapsed="false">
      <c r="A407" s="38"/>
      <c r="B407" s="38"/>
      <c r="C407" s="38"/>
      <c r="D407" s="38"/>
      <c r="E407" s="13"/>
      <c r="F407" s="13"/>
      <c r="G407" s="67"/>
      <c r="H407" s="67"/>
      <c r="I407" s="67"/>
      <c r="J407" s="67"/>
      <c r="K407" s="38"/>
      <c r="L407" s="38"/>
      <c r="M407" s="66" t="str">
        <f aca="false">IF(OR($D407="",$F407=""),"",IF(COUNTIFS($D$7:$D407,$D407,$F$7:$F407,$F407)=1,1,0))</f>
        <v/>
      </c>
    </row>
    <row r="408" customFormat="false" ht="15" hidden="false" customHeight="true" outlineLevel="0" collapsed="false">
      <c r="A408" s="56"/>
      <c r="B408" s="56"/>
      <c r="C408" s="56"/>
      <c r="D408" s="56"/>
      <c r="E408" s="16"/>
      <c r="F408" s="16"/>
      <c r="G408" s="67"/>
      <c r="H408" s="67"/>
      <c r="I408" s="67"/>
      <c r="J408" s="67"/>
      <c r="K408" s="56"/>
      <c r="L408" s="56"/>
      <c r="M408" s="66" t="str">
        <f aca="false">IF(OR($D408="",$F408=""),"",IF(COUNTIFS($D$7:$D408,$D408,$F$7:$F408,$F408)=1,1,0))</f>
        <v/>
      </c>
    </row>
    <row r="409" customFormat="false" ht="15" hidden="false" customHeight="true" outlineLevel="0" collapsed="false">
      <c r="A409" s="38"/>
      <c r="B409" s="38"/>
      <c r="C409" s="38"/>
      <c r="D409" s="38"/>
      <c r="E409" s="13"/>
      <c r="F409" s="13"/>
      <c r="G409" s="67"/>
      <c r="H409" s="67"/>
      <c r="I409" s="67"/>
      <c r="J409" s="67"/>
      <c r="K409" s="38"/>
      <c r="L409" s="38"/>
      <c r="M409" s="66" t="str">
        <f aca="false">IF(OR($D409="",$F409=""),"",IF(COUNTIFS($D$7:$D409,$D409,$F$7:$F409,$F409)=1,1,0))</f>
        <v/>
      </c>
    </row>
    <row r="410" customFormat="false" ht="15" hidden="false" customHeight="true" outlineLevel="0" collapsed="false">
      <c r="A410" s="56"/>
      <c r="B410" s="56"/>
      <c r="C410" s="56"/>
      <c r="D410" s="56"/>
      <c r="E410" s="16"/>
      <c r="F410" s="16"/>
      <c r="G410" s="67"/>
      <c r="H410" s="67"/>
      <c r="I410" s="67"/>
      <c r="J410" s="67"/>
      <c r="K410" s="56"/>
      <c r="L410" s="56"/>
      <c r="M410" s="66" t="str">
        <f aca="false">IF(OR($D410="",$F410=""),"",IF(COUNTIFS($D$7:$D410,$D410,$F$7:$F410,$F410)=1,1,0))</f>
        <v/>
      </c>
    </row>
    <row r="411" customFormat="false" ht="15" hidden="false" customHeight="true" outlineLevel="0" collapsed="false">
      <c r="A411" s="38"/>
      <c r="B411" s="38"/>
      <c r="C411" s="38"/>
      <c r="D411" s="38"/>
      <c r="E411" s="13"/>
      <c r="F411" s="13"/>
      <c r="G411" s="67"/>
      <c r="H411" s="67"/>
      <c r="I411" s="67"/>
      <c r="J411" s="67"/>
      <c r="K411" s="38"/>
      <c r="L411" s="38"/>
      <c r="M411" s="66" t="str">
        <f aca="false">IF(OR($D411="",$F411=""),"",IF(COUNTIFS($D$7:$D411,$D411,$F$7:$F411,$F411)=1,1,0))</f>
        <v/>
      </c>
    </row>
    <row r="412" customFormat="false" ht="15" hidden="false" customHeight="true" outlineLevel="0" collapsed="false">
      <c r="A412" s="56"/>
      <c r="B412" s="56"/>
      <c r="C412" s="56"/>
      <c r="D412" s="56"/>
      <c r="E412" s="16"/>
      <c r="F412" s="16"/>
      <c r="G412" s="67"/>
      <c r="H412" s="67"/>
      <c r="I412" s="67"/>
      <c r="J412" s="67"/>
      <c r="K412" s="56"/>
      <c r="L412" s="56"/>
      <c r="M412" s="66" t="str">
        <f aca="false">IF(OR($D412="",$F412=""),"",IF(COUNTIFS($D$7:$D412,$D412,$F$7:$F412,$F412)=1,1,0))</f>
        <v/>
      </c>
    </row>
    <row r="413" customFormat="false" ht="15" hidden="false" customHeight="true" outlineLevel="0" collapsed="false">
      <c r="A413" s="38"/>
      <c r="B413" s="38"/>
      <c r="C413" s="38"/>
      <c r="D413" s="38"/>
      <c r="E413" s="13"/>
      <c r="F413" s="13"/>
      <c r="G413" s="67"/>
      <c r="H413" s="67"/>
      <c r="I413" s="67"/>
      <c r="J413" s="67"/>
      <c r="K413" s="38"/>
      <c r="L413" s="38"/>
      <c r="M413" s="66" t="str">
        <f aca="false">IF(OR($D413="",$F413=""),"",IF(COUNTIFS($D$7:$D413,$D413,$F$7:$F413,$F413)=1,1,0))</f>
        <v/>
      </c>
    </row>
    <row r="414" customFormat="false" ht="15" hidden="false" customHeight="true" outlineLevel="0" collapsed="false">
      <c r="A414" s="56"/>
      <c r="B414" s="56"/>
      <c r="C414" s="56"/>
      <c r="D414" s="56"/>
      <c r="E414" s="16"/>
      <c r="F414" s="16"/>
      <c r="G414" s="67"/>
      <c r="H414" s="67"/>
      <c r="I414" s="67"/>
      <c r="J414" s="67"/>
      <c r="K414" s="56"/>
      <c r="L414" s="56"/>
      <c r="M414" s="66" t="str">
        <f aca="false">IF(OR($D414="",$F414=""),"",IF(COUNTIFS($D$7:$D414,$D414,$F$7:$F414,$F414)=1,1,0))</f>
        <v/>
      </c>
    </row>
    <row r="415" customFormat="false" ht="15" hidden="false" customHeight="true" outlineLevel="0" collapsed="false">
      <c r="A415" s="38"/>
      <c r="B415" s="38"/>
      <c r="C415" s="38"/>
      <c r="D415" s="38"/>
      <c r="E415" s="13"/>
      <c r="F415" s="13"/>
      <c r="G415" s="67"/>
      <c r="H415" s="67"/>
      <c r="I415" s="67"/>
      <c r="J415" s="67"/>
      <c r="K415" s="38"/>
      <c r="L415" s="38"/>
      <c r="M415" s="66" t="str">
        <f aca="false">IF(OR($D415="",$F415=""),"",IF(COUNTIFS($D$7:$D415,$D415,$F$7:$F415,$F415)=1,1,0))</f>
        <v/>
      </c>
    </row>
    <row r="416" customFormat="false" ht="15" hidden="false" customHeight="true" outlineLevel="0" collapsed="false">
      <c r="A416" s="56"/>
      <c r="B416" s="56"/>
      <c r="C416" s="56"/>
      <c r="D416" s="56"/>
      <c r="E416" s="16"/>
      <c r="F416" s="16"/>
      <c r="G416" s="67"/>
      <c r="H416" s="67"/>
      <c r="I416" s="67"/>
      <c r="J416" s="67"/>
      <c r="K416" s="56"/>
      <c r="L416" s="56"/>
      <c r="M416" s="66" t="str">
        <f aca="false">IF(OR($D416="",$F416=""),"",IF(COUNTIFS($D$7:$D416,$D416,$F$7:$F416,$F416)=1,1,0))</f>
        <v/>
      </c>
    </row>
    <row r="417" customFormat="false" ht="15" hidden="false" customHeight="true" outlineLevel="0" collapsed="false">
      <c r="A417" s="38"/>
      <c r="B417" s="38"/>
      <c r="C417" s="38"/>
      <c r="D417" s="38"/>
      <c r="E417" s="13"/>
      <c r="F417" s="13"/>
      <c r="G417" s="67"/>
      <c r="H417" s="67"/>
      <c r="I417" s="67"/>
      <c r="J417" s="67"/>
      <c r="K417" s="38"/>
      <c r="L417" s="38"/>
      <c r="M417" s="66" t="str">
        <f aca="false">IF(OR($D417="",$F417=""),"",IF(COUNTIFS($D$7:$D417,$D417,$F$7:$F417,$F417)=1,1,0))</f>
        <v/>
      </c>
    </row>
    <row r="418" customFormat="false" ht="15" hidden="false" customHeight="true" outlineLevel="0" collapsed="false">
      <c r="A418" s="56"/>
      <c r="B418" s="56"/>
      <c r="C418" s="56"/>
      <c r="D418" s="56"/>
      <c r="E418" s="16"/>
      <c r="F418" s="16"/>
      <c r="G418" s="67"/>
      <c r="H418" s="67"/>
      <c r="I418" s="67"/>
      <c r="J418" s="67"/>
      <c r="K418" s="56"/>
      <c r="L418" s="56"/>
      <c r="M418" s="66" t="str">
        <f aca="false">IF(OR($D418="",$F418=""),"",IF(COUNTIFS($D$7:$D418,$D418,$F$7:$F418,$F418)=1,1,0))</f>
        <v/>
      </c>
    </row>
    <row r="419" customFormat="false" ht="15" hidden="false" customHeight="true" outlineLevel="0" collapsed="false">
      <c r="A419" s="38"/>
      <c r="B419" s="38"/>
      <c r="C419" s="38"/>
      <c r="D419" s="38"/>
      <c r="E419" s="13"/>
      <c r="F419" s="13"/>
      <c r="G419" s="67"/>
      <c r="H419" s="67"/>
      <c r="I419" s="67"/>
      <c r="J419" s="67"/>
      <c r="K419" s="38"/>
      <c r="L419" s="38"/>
      <c r="M419" s="66" t="str">
        <f aca="false">IF(OR($D419="",$F419=""),"",IF(COUNTIFS($D$7:$D419,$D419,$F$7:$F419,$F419)=1,1,0))</f>
        <v/>
      </c>
    </row>
    <row r="420" customFormat="false" ht="15" hidden="false" customHeight="true" outlineLevel="0" collapsed="false">
      <c r="A420" s="56"/>
      <c r="B420" s="56"/>
      <c r="C420" s="56"/>
      <c r="D420" s="56"/>
      <c r="E420" s="16"/>
      <c r="F420" s="16"/>
      <c r="G420" s="67"/>
      <c r="H420" s="67"/>
      <c r="I420" s="67"/>
      <c r="J420" s="67"/>
      <c r="K420" s="56"/>
      <c r="L420" s="56"/>
      <c r="M420" s="66" t="str">
        <f aca="false">IF(OR($D420="",$F420=""),"",IF(COUNTIFS($D$7:$D420,$D420,$F$7:$F420,$F420)=1,1,0))</f>
        <v/>
      </c>
    </row>
    <row r="421" customFormat="false" ht="15" hidden="false" customHeight="true" outlineLevel="0" collapsed="false">
      <c r="A421" s="38"/>
      <c r="B421" s="38"/>
      <c r="C421" s="38"/>
      <c r="D421" s="38"/>
      <c r="E421" s="13"/>
      <c r="F421" s="13"/>
      <c r="G421" s="67"/>
      <c r="H421" s="67"/>
      <c r="I421" s="67"/>
      <c r="J421" s="67"/>
      <c r="K421" s="38"/>
      <c r="L421" s="38"/>
      <c r="M421" s="66" t="str">
        <f aca="false">IF(OR($D421="",$F421=""),"",IF(COUNTIFS($D$7:$D421,$D421,$F$7:$F421,$F421)=1,1,0))</f>
        <v/>
      </c>
    </row>
    <row r="422" customFormat="false" ht="15" hidden="false" customHeight="true" outlineLevel="0" collapsed="false">
      <c r="A422" s="56"/>
      <c r="B422" s="56"/>
      <c r="C422" s="56"/>
      <c r="D422" s="56"/>
      <c r="E422" s="16"/>
      <c r="F422" s="16"/>
      <c r="G422" s="67"/>
      <c r="H422" s="67"/>
      <c r="I422" s="67"/>
      <c r="J422" s="67"/>
      <c r="K422" s="56"/>
      <c r="L422" s="56"/>
      <c r="M422" s="66" t="str">
        <f aca="false">IF(OR($D422="",$F422=""),"",IF(COUNTIFS($D$7:$D422,$D422,$F$7:$F422,$F422)=1,1,0))</f>
        <v/>
      </c>
    </row>
    <row r="423" customFormat="false" ht="15" hidden="false" customHeight="true" outlineLevel="0" collapsed="false">
      <c r="A423" s="38"/>
      <c r="B423" s="38"/>
      <c r="C423" s="38"/>
      <c r="D423" s="38"/>
      <c r="E423" s="13"/>
      <c r="F423" s="13"/>
      <c r="G423" s="67"/>
      <c r="H423" s="67"/>
      <c r="I423" s="67"/>
      <c r="J423" s="67"/>
      <c r="K423" s="38"/>
      <c r="L423" s="38"/>
      <c r="M423" s="66" t="str">
        <f aca="false">IF(OR($D423="",$F423=""),"",IF(COUNTIFS($D$7:$D423,$D423,$F$7:$F423,$F423)=1,1,0))</f>
        <v/>
      </c>
    </row>
    <row r="424" customFormat="false" ht="15" hidden="false" customHeight="true" outlineLevel="0" collapsed="false">
      <c r="A424" s="56"/>
      <c r="B424" s="56"/>
      <c r="C424" s="56"/>
      <c r="D424" s="56"/>
      <c r="E424" s="16"/>
      <c r="F424" s="16"/>
      <c r="G424" s="67"/>
      <c r="H424" s="67"/>
      <c r="I424" s="67"/>
      <c r="J424" s="67"/>
      <c r="K424" s="56"/>
      <c r="L424" s="56"/>
      <c r="M424" s="66" t="str">
        <f aca="false">IF(OR($D424="",$F424=""),"",IF(COUNTIFS($D$7:$D424,$D424,$F$7:$F424,$F424)=1,1,0))</f>
        <v/>
      </c>
    </row>
    <row r="425" customFormat="false" ht="15" hidden="false" customHeight="true" outlineLevel="0" collapsed="false">
      <c r="A425" s="38"/>
      <c r="B425" s="38"/>
      <c r="C425" s="38"/>
      <c r="D425" s="38"/>
      <c r="E425" s="13"/>
      <c r="F425" s="13"/>
      <c r="G425" s="67"/>
      <c r="H425" s="67"/>
      <c r="I425" s="67"/>
      <c r="J425" s="67"/>
      <c r="K425" s="38"/>
      <c r="L425" s="38"/>
      <c r="M425" s="66" t="str">
        <f aca="false">IF(OR($D425="",$F425=""),"",IF(COUNTIFS($D$7:$D425,$D425,$F$7:$F425,$F425)=1,1,0))</f>
        <v/>
      </c>
    </row>
    <row r="426" customFormat="false" ht="15" hidden="false" customHeight="true" outlineLevel="0" collapsed="false">
      <c r="A426" s="56"/>
      <c r="B426" s="56"/>
      <c r="C426" s="56"/>
      <c r="D426" s="56"/>
      <c r="E426" s="16"/>
      <c r="F426" s="16"/>
      <c r="G426" s="67"/>
      <c r="H426" s="67"/>
      <c r="I426" s="67"/>
      <c r="J426" s="67"/>
      <c r="K426" s="56"/>
      <c r="L426" s="56"/>
      <c r="M426" s="66" t="str">
        <f aca="false">IF(OR($D426="",$F426=""),"",IF(COUNTIFS($D$7:$D426,$D426,$F$7:$F426,$F426)=1,1,0))</f>
        <v/>
      </c>
    </row>
    <row r="427" customFormat="false" ht="15" hidden="false" customHeight="true" outlineLevel="0" collapsed="false">
      <c r="A427" s="38"/>
      <c r="B427" s="38"/>
      <c r="C427" s="38"/>
      <c r="D427" s="38"/>
      <c r="E427" s="13"/>
      <c r="F427" s="13"/>
      <c r="G427" s="67"/>
      <c r="H427" s="67"/>
      <c r="I427" s="67"/>
      <c r="J427" s="67"/>
      <c r="K427" s="38"/>
      <c r="L427" s="38"/>
      <c r="M427" s="66" t="str">
        <f aca="false">IF(OR($D427="",$F427=""),"",IF(COUNTIFS($D$7:$D427,$D427,$F$7:$F427,$F427)=1,1,0))</f>
        <v/>
      </c>
    </row>
    <row r="428" customFormat="false" ht="15" hidden="false" customHeight="true" outlineLevel="0" collapsed="false">
      <c r="A428" s="56"/>
      <c r="B428" s="56"/>
      <c r="C428" s="56"/>
      <c r="D428" s="56"/>
      <c r="E428" s="16"/>
      <c r="F428" s="16"/>
      <c r="G428" s="67"/>
      <c r="H428" s="67"/>
      <c r="I428" s="67"/>
      <c r="J428" s="67"/>
      <c r="K428" s="56"/>
      <c r="L428" s="56"/>
      <c r="M428" s="66" t="str">
        <f aca="false">IF(OR($D428="",$F428=""),"",IF(COUNTIFS($D$7:$D428,$D428,$F$7:$F428,$F428)=1,1,0))</f>
        <v/>
      </c>
    </row>
    <row r="429" customFormat="false" ht="15" hidden="false" customHeight="true" outlineLevel="0" collapsed="false">
      <c r="A429" s="38"/>
      <c r="B429" s="38"/>
      <c r="C429" s="38"/>
      <c r="D429" s="38"/>
      <c r="E429" s="13"/>
      <c r="F429" s="13"/>
      <c r="G429" s="67"/>
      <c r="H429" s="67"/>
      <c r="I429" s="67"/>
      <c r="J429" s="67"/>
      <c r="K429" s="38"/>
      <c r="L429" s="38"/>
      <c r="M429" s="66" t="str">
        <f aca="false">IF(OR($D429="",$F429=""),"",IF(COUNTIFS($D$7:$D429,$D429,$F$7:$F429,$F429)=1,1,0))</f>
        <v/>
      </c>
    </row>
    <row r="430" customFormat="false" ht="15" hidden="false" customHeight="true" outlineLevel="0" collapsed="false">
      <c r="A430" s="56"/>
      <c r="B430" s="56"/>
      <c r="C430" s="56"/>
      <c r="D430" s="56"/>
      <c r="E430" s="16"/>
      <c r="F430" s="16"/>
      <c r="G430" s="67"/>
      <c r="H430" s="67"/>
      <c r="I430" s="67"/>
      <c r="J430" s="67"/>
      <c r="K430" s="56"/>
      <c r="L430" s="56"/>
      <c r="M430" s="66" t="str">
        <f aca="false">IF(OR($D430="",$F430=""),"",IF(COUNTIFS($D$7:$D430,$D430,$F$7:$F430,$F430)=1,1,0))</f>
        <v/>
      </c>
    </row>
    <row r="431" customFormat="false" ht="15" hidden="false" customHeight="true" outlineLevel="0" collapsed="false">
      <c r="A431" s="38"/>
      <c r="B431" s="38"/>
      <c r="C431" s="38"/>
      <c r="D431" s="38"/>
      <c r="E431" s="13"/>
      <c r="F431" s="13"/>
      <c r="G431" s="67"/>
      <c r="H431" s="67"/>
      <c r="I431" s="67"/>
      <c r="J431" s="67"/>
      <c r="K431" s="38"/>
      <c r="L431" s="38"/>
      <c r="M431" s="66" t="str">
        <f aca="false">IF(OR($D431="",$F431=""),"",IF(COUNTIFS($D$7:$D431,$D431,$F$7:$F431,$F431)=1,1,0))</f>
        <v/>
      </c>
    </row>
    <row r="432" customFormat="false" ht="15" hidden="false" customHeight="true" outlineLevel="0" collapsed="false">
      <c r="A432" s="56"/>
      <c r="B432" s="56"/>
      <c r="C432" s="56"/>
      <c r="D432" s="56"/>
      <c r="E432" s="16"/>
      <c r="F432" s="16"/>
      <c r="G432" s="67"/>
      <c r="H432" s="67"/>
      <c r="I432" s="67"/>
      <c r="J432" s="67"/>
      <c r="K432" s="56"/>
      <c r="L432" s="56"/>
      <c r="M432" s="66" t="str">
        <f aca="false">IF(OR($D432="",$F432=""),"",IF(COUNTIFS($D$7:$D432,$D432,$F$7:$F432,$F432)=1,1,0))</f>
        <v/>
      </c>
    </row>
    <row r="433" customFormat="false" ht="15" hidden="false" customHeight="true" outlineLevel="0" collapsed="false">
      <c r="A433" s="38"/>
      <c r="B433" s="38"/>
      <c r="C433" s="38"/>
      <c r="D433" s="38"/>
      <c r="E433" s="13"/>
      <c r="F433" s="13"/>
      <c r="G433" s="67"/>
      <c r="H433" s="67"/>
      <c r="I433" s="67"/>
      <c r="J433" s="67"/>
      <c r="K433" s="38"/>
      <c r="L433" s="38"/>
      <c r="M433" s="66" t="str">
        <f aca="false">IF(OR($D433="",$F433=""),"",IF(COUNTIFS($D$7:$D433,$D433,$F$7:$F433,$F433)=1,1,0))</f>
        <v/>
      </c>
    </row>
    <row r="434" customFormat="false" ht="15" hidden="false" customHeight="true" outlineLevel="0" collapsed="false">
      <c r="A434" s="56"/>
      <c r="B434" s="56"/>
      <c r="C434" s="56"/>
      <c r="D434" s="56"/>
      <c r="E434" s="16"/>
      <c r="F434" s="16"/>
      <c r="G434" s="67"/>
      <c r="H434" s="67"/>
      <c r="I434" s="67"/>
      <c r="J434" s="67"/>
      <c r="K434" s="56"/>
      <c r="L434" s="56"/>
      <c r="M434" s="66" t="str">
        <f aca="false">IF(OR($D434="",$F434=""),"",IF(COUNTIFS($D$7:$D434,$D434,$F$7:$F434,$F434)=1,1,0))</f>
        <v/>
      </c>
    </row>
    <row r="435" customFormat="false" ht="15" hidden="false" customHeight="true" outlineLevel="0" collapsed="false">
      <c r="A435" s="38"/>
      <c r="B435" s="38"/>
      <c r="C435" s="38"/>
      <c r="D435" s="38"/>
      <c r="E435" s="13"/>
      <c r="F435" s="13"/>
      <c r="G435" s="67"/>
      <c r="H435" s="67"/>
      <c r="I435" s="67"/>
      <c r="J435" s="67"/>
      <c r="K435" s="38"/>
      <c r="L435" s="38"/>
      <c r="M435" s="66" t="str">
        <f aca="false">IF(OR($D435="",$F435=""),"",IF(COUNTIFS($D$7:$D435,$D435,$F$7:$F435,$F435)=1,1,0))</f>
        <v/>
      </c>
    </row>
    <row r="436" customFormat="false" ht="15" hidden="false" customHeight="true" outlineLevel="0" collapsed="false">
      <c r="A436" s="56"/>
      <c r="B436" s="56"/>
      <c r="C436" s="56"/>
      <c r="D436" s="56"/>
      <c r="E436" s="16"/>
      <c r="F436" s="16"/>
      <c r="G436" s="67"/>
      <c r="H436" s="67"/>
      <c r="I436" s="67"/>
      <c r="J436" s="67"/>
      <c r="K436" s="56"/>
      <c r="L436" s="56"/>
      <c r="M436" s="66" t="str">
        <f aca="false">IF(OR($D436="",$F436=""),"",IF(COUNTIFS($D$7:$D436,$D436,$F$7:$F436,$F436)=1,1,0))</f>
        <v/>
      </c>
    </row>
    <row r="437" customFormat="false" ht="15" hidden="false" customHeight="true" outlineLevel="0" collapsed="false">
      <c r="A437" s="38"/>
      <c r="B437" s="38"/>
      <c r="C437" s="38"/>
      <c r="D437" s="38"/>
      <c r="E437" s="13"/>
      <c r="F437" s="13"/>
      <c r="G437" s="67"/>
      <c r="H437" s="67"/>
      <c r="I437" s="67"/>
      <c r="J437" s="67"/>
      <c r="K437" s="38"/>
      <c r="L437" s="38"/>
      <c r="M437" s="66" t="str">
        <f aca="false">IF(OR($D437="",$F437=""),"",IF(COUNTIFS($D$7:$D437,$D437,$F$7:$F437,$F437)=1,1,0))</f>
        <v/>
      </c>
    </row>
    <row r="438" customFormat="false" ht="15" hidden="false" customHeight="true" outlineLevel="0" collapsed="false">
      <c r="A438" s="56"/>
      <c r="B438" s="56"/>
      <c r="C438" s="56"/>
      <c r="D438" s="56"/>
      <c r="E438" s="16"/>
      <c r="F438" s="16"/>
      <c r="G438" s="67"/>
      <c r="H438" s="67"/>
      <c r="I438" s="67"/>
      <c r="J438" s="67"/>
      <c r="K438" s="56"/>
      <c r="L438" s="56"/>
      <c r="M438" s="66" t="str">
        <f aca="false">IF(OR($D438="",$F438=""),"",IF(COUNTIFS($D$7:$D438,$D438,$F$7:$F438,$F438)=1,1,0))</f>
        <v/>
      </c>
    </row>
    <row r="439" customFormat="false" ht="15" hidden="false" customHeight="true" outlineLevel="0" collapsed="false">
      <c r="A439" s="38"/>
      <c r="B439" s="38"/>
      <c r="C439" s="38"/>
      <c r="D439" s="38"/>
      <c r="E439" s="13"/>
      <c r="F439" s="13"/>
      <c r="G439" s="67"/>
      <c r="H439" s="67"/>
      <c r="I439" s="67"/>
      <c r="J439" s="67"/>
      <c r="K439" s="38"/>
      <c r="L439" s="38"/>
      <c r="M439" s="66" t="str">
        <f aca="false">IF(OR($D439="",$F439=""),"",IF(COUNTIFS($D$7:$D439,$D439,$F$7:$F439,$F439)=1,1,0))</f>
        <v/>
      </c>
    </row>
    <row r="440" customFormat="false" ht="15" hidden="false" customHeight="true" outlineLevel="0" collapsed="false">
      <c r="A440" s="56"/>
      <c r="B440" s="56"/>
      <c r="C440" s="56"/>
      <c r="D440" s="56"/>
      <c r="E440" s="16"/>
      <c r="F440" s="16"/>
      <c r="G440" s="67"/>
      <c r="H440" s="67"/>
      <c r="I440" s="67"/>
      <c r="J440" s="67"/>
      <c r="K440" s="56"/>
      <c r="L440" s="56"/>
      <c r="M440" s="66" t="str">
        <f aca="false">IF(OR($D440="",$F440=""),"",IF(COUNTIFS($D$7:$D440,$D440,$F$7:$F440,$F440)=1,1,0))</f>
        <v/>
      </c>
    </row>
    <row r="441" customFormat="false" ht="15" hidden="false" customHeight="true" outlineLevel="0" collapsed="false">
      <c r="A441" s="38"/>
      <c r="B441" s="38"/>
      <c r="C441" s="38"/>
      <c r="D441" s="38"/>
      <c r="E441" s="13"/>
      <c r="F441" s="13"/>
      <c r="G441" s="67"/>
      <c r="H441" s="67"/>
      <c r="I441" s="67"/>
      <c r="J441" s="67"/>
      <c r="K441" s="38"/>
      <c r="L441" s="38"/>
      <c r="M441" s="66" t="str">
        <f aca="false">IF(OR($D441="",$F441=""),"",IF(COUNTIFS($D$7:$D441,$D441,$F$7:$F441,$F441)=1,1,0))</f>
        <v/>
      </c>
    </row>
    <row r="442" customFormat="false" ht="15" hidden="false" customHeight="true" outlineLevel="0" collapsed="false">
      <c r="A442" s="56"/>
      <c r="B442" s="56"/>
      <c r="C442" s="56"/>
      <c r="D442" s="56"/>
      <c r="E442" s="16"/>
      <c r="F442" s="16"/>
      <c r="G442" s="67"/>
      <c r="H442" s="67"/>
      <c r="I442" s="67"/>
      <c r="J442" s="67"/>
      <c r="K442" s="56"/>
      <c r="L442" s="56"/>
      <c r="M442" s="66" t="str">
        <f aca="false">IF(OR($D442="",$F442=""),"",IF(COUNTIFS($D$7:$D442,$D442,$F$7:$F442,$F442)=1,1,0))</f>
        <v/>
      </c>
    </row>
    <row r="443" customFormat="false" ht="15" hidden="false" customHeight="true" outlineLevel="0" collapsed="false">
      <c r="A443" s="38"/>
      <c r="B443" s="38"/>
      <c r="C443" s="38"/>
      <c r="D443" s="38"/>
      <c r="E443" s="13"/>
      <c r="F443" s="13"/>
      <c r="G443" s="67"/>
      <c r="H443" s="67"/>
      <c r="I443" s="67"/>
      <c r="J443" s="67"/>
      <c r="K443" s="38"/>
      <c r="L443" s="38"/>
      <c r="M443" s="66" t="str">
        <f aca="false">IF(OR($D443="",$F443=""),"",IF(COUNTIFS($D$7:$D443,$D443,$F$7:$F443,$F443)=1,1,0))</f>
        <v/>
      </c>
    </row>
    <row r="444" customFormat="false" ht="15" hidden="false" customHeight="true" outlineLevel="0" collapsed="false">
      <c r="A444" s="56"/>
      <c r="B444" s="56"/>
      <c r="C444" s="56"/>
      <c r="D444" s="56"/>
      <c r="E444" s="16"/>
      <c r="F444" s="16"/>
      <c r="G444" s="67"/>
      <c r="H444" s="67"/>
      <c r="I444" s="67"/>
      <c r="J444" s="67"/>
      <c r="K444" s="56"/>
      <c r="L444" s="56"/>
      <c r="M444" s="66" t="str">
        <f aca="false">IF(OR($D444="",$F444=""),"",IF(COUNTIFS($D$7:$D444,$D444,$F$7:$F444,$F444)=1,1,0))</f>
        <v/>
      </c>
    </row>
    <row r="445" customFormat="false" ht="15" hidden="false" customHeight="true" outlineLevel="0" collapsed="false">
      <c r="A445" s="38"/>
      <c r="B445" s="38"/>
      <c r="C445" s="38"/>
      <c r="D445" s="38"/>
      <c r="E445" s="13"/>
      <c r="F445" s="13"/>
      <c r="G445" s="67"/>
      <c r="H445" s="67"/>
      <c r="I445" s="67"/>
      <c r="J445" s="67"/>
      <c r="K445" s="38"/>
      <c r="L445" s="38"/>
      <c r="M445" s="66" t="str">
        <f aca="false">IF(OR($D445="",$F445=""),"",IF(COUNTIFS($D$7:$D445,$D445,$F$7:$F445,$F445)=1,1,0))</f>
        <v/>
      </c>
    </row>
    <row r="446" customFormat="false" ht="15" hidden="false" customHeight="true" outlineLevel="0" collapsed="false">
      <c r="A446" s="56"/>
      <c r="B446" s="56"/>
      <c r="C446" s="56"/>
      <c r="D446" s="56"/>
      <c r="E446" s="16"/>
      <c r="F446" s="16"/>
      <c r="G446" s="67"/>
      <c r="H446" s="67"/>
      <c r="I446" s="67"/>
      <c r="J446" s="67"/>
      <c r="K446" s="56"/>
      <c r="L446" s="56"/>
      <c r="M446" s="66" t="str">
        <f aca="false">IF(OR($D446="",$F446=""),"",IF(COUNTIFS($D$7:$D446,$D446,$F$7:$F446,$F446)=1,1,0))</f>
        <v/>
      </c>
    </row>
    <row r="447" customFormat="false" ht="15" hidden="false" customHeight="true" outlineLevel="0" collapsed="false">
      <c r="A447" s="38"/>
      <c r="B447" s="38"/>
      <c r="C447" s="38"/>
      <c r="D447" s="38"/>
      <c r="E447" s="13"/>
      <c r="F447" s="13"/>
      <c r="G447" s="67"/>
      <c r="H447" s="67"/>
      <c r="I447" s="67"/>
      <c r="J447" s="67"/>
      <c r="K447" s="38"/>
      <c r="L447" s="38"/>
      <c r="M447" s="66" t="str">
        <f aca="false">IF(OR($D447="",$F447=""),"",IF(COUNTIFS($D$7:$D447,$D447,$F$7:$F447,$F447)=1,1,0))</f>
        <v/>
      </c>
    </row>
    <row r="448" customFormat="false" ht="15" hidden="false" customHeight="true" outlineLevel="0" collapsed="false">
      <c r="A448" s="56"/>
      <c r="B448" s="56"/>
      <c r="C448" s="56"/>
      <c r="D448" s="56"/>
      <c r="E448" s="16"/>
      <c r="F448" s="16"/>
      <c r="G448" s="67"/>
      <c r="H448" s="67"/>
      <c r="I448" s="67"/>
      <c r="J448" s="67"/>
      <c r="K448" s="56"/>
      <c r="L448" s="56"/>
      <c r="M448" s="66" t="str">
        <f aca="false">IF(OR($D448="",$F448=""),"",IF(COUNTIFS($D$7:$D448,$D448,$F$7:$F448,$F448)=1,1,0))</f>
        <v/>
      </c>
    </row>
    <row r="449" customFormat="false" ht="15" hidden="false" customHeight="true" outlineLevel="0" collapsed="false">
      <c r="A449" s="38"/>
      <c r="B449" s="38"/>
      <c r="C449" s="38"/>
      <c r="D449" s="38"/>
      <c r="E449" s="13"/>
      <c r="F449" s="13"/>
      <c r="G449" s="67"/>
      <c r="H449" s="67"/>
      <c r="I449" s="67"/>
      <c r="J449" s="67"/>
      <c r="K449" s="38"/>
      <c r="L449" s="38"/>
      <c r="M449" s="66" t="str">
        <f aca="false">IF(OR($D449="",$F449=""),"",IF(COUNTIFS($D$7:$D449,$D449,$F$7:$F449,$F449)=1,1,0))</f>
        <v/>
      </c>
    </row>
    <row r="450" customFormat="false" ht="15" hidden="false" customHeight="true" outlineLevel="0" collapsed="false">
      <c r="A450" s="56"/>
      <c r="B450" s="56"/>
      <c r="C450" s="56"/>
      <c r="D450" s="56"/>
      <c r="E450" s="16"/>
      <c r="F450" s="16"/>
      <c r="G450" s="67"/>
      <c r="H450" s="67"/>
      <c r="I450" s="67"/>
      <c r="J450" s="67"/>
      <c r="K450" s="56"/>
      <c r="L450" s="56"/>
      <c r="M450" s="66" t="str">
        <f aca="false">IF(OR($D450="",$F450=""),"",IF(COUNTIFS($D$7:$D450,$D450,$F$7:$F450,$F450)=1,1,0))</f>
        <v/>
      </c>
    </row>
    <row r="451" customFormat="false" ht="15" hidden="false" customHeight="true" outlineLevel="0" collapsed="false">
      <c r="A451" s="38"/>
      <c r="B451" s="38"/>
      <c r="C451" s="38"/>
      <c r="D451" s="38"/>
      <c r="E451" s="13"/>
      <c r="F451" s="13"/>
      <c r="G451" s="67"/>
      <c r="H451" s="67"/>
      <c r="I451" s="67"/>
      <c r="J451" s="67"/>
      <c r="K451" s="38"/>
      <c r="L451" s="38"/>
      <c r="M451" s="66" t="str">
        <f aca="false">IF(OR($D451="",$F451=""),"",IF(COUNTIFS($D$7:$D451,$D451,$F$7:$F451,$F451)=1,1,0))</f>
        <v/>
      </c>
    </row>
    <row r="452" customFormat="false" ht="15" hidden="false" customHeight="true" outlineLevel="0" collapsed="false">
      <c r="A452" s="56"/>
      <c r="B452" s="56"/>
      <c r="C452" s="56"/>
      <c r="D452" s="56"/>
      <c r="E452" s="16"/>
      <c r="F452" s="16"/>
      <c r="G452" s="67"/>
      <c r="H452" s="67"/>
      <c r="I452" s="67"/>
      <c r="J452" s="67"/>
      <c r="K452" s="56"/>
      <c r="L452" s="56"/>
      <c r="M452" s="66" t="str">
        <f aca="false">IF(OR($D452="",$F452=""),"",IF(COUNTIFS($D$7:$D452,$D452,$F$7:$F452,$F452)=1,1,0))</f>
        <v/>
      </c>
    </row>
    <row r="453" customFormat="false" ht="15" hidden="false" customHeight="true" outlineLevel="0" collapsed="false">
      <c r="A453" s="38"/>
      <c r="B453" s="38"/>
      <c r="C453" s="38"/>
      <c r="D453" s="38"/>
      <c r="E453" s="13"/>
      <c r="F453" s="13"/>
      <c r="G453" s="67"/>
      <c r="H453" s="67"/>
      <c r="I453" s="67"/>
      <c r="J453" s="67"/>
      <c r="K453" s="38"/>
      <c r="L453" s="38"/>
      <c r="M453" s="66" t="str">
        <f aca="false">IF(OR($D453="",$F453=""),"",IF(COUNTIFS($D$7:$D453,$D453,$F$7:$F453,$F453)=1,1,0))</f>
        <v/>
      </c>
    </row>
    <row r="454" customFormat="false" ht="15" hidden="false" customHeight="true" outlineLevel="0" collapsed="false">
      <c r="A454" s="56"/>
      <c r="B454" s="56"/>
      <c r="C454" s="56"/>
      <c r="D454" s="56"/>
      <c r="E454" s="16"/>
      <c r="F454" s="16"/>
      <c r="G454" s="67"/>
      <c r="H454" s="67"/>
      <c r="I454" s="67"/>
      <c r="J454" s="67"/>
      <c r="K454" s="56"/>
      <c r="L454" s="56"/>
      <c r="M454" s="66" t="str">
        <f aca="false">IF(OR($D454="",$F454=""),"",IF(COUNTIFS($D$7:$D454,$D454,$F$7:$F454,$F454)=1,1,0))</f>
        <v/>
      </c>
    </row>
    <row r="455" customFormat="false" ht="15" hidden="false" customHeight="true" outlineLevel="0" collapsed="false">
      <c r="A455" s="38"/>
      <c r="B455" s="38"/>
      <c r="C455" s="38"/>
      <c r="D455" s="38"/>
      <c r="E455" s="13"/>
      <c r="F455" s="13"/>
      <c r="G455" s="67"/>
      <c r="H455" s="67"/>
      <c r="I455" s="67"/>
      <c r="J455" s="67"/>
      <c r="K455" s="38"/>
      <c r="L455" s="38"/>
      <c r="M455" s="66" t="str">
        <f aca="false">IF(OR($D455="",$F455=""),"",IF(COUNTIFS($D$7:$D455,$D455,$F$7:$F455,$F455)=1,1,0))</f>
        <v/>
      </c>
    </row>
    <row r="456" customFormat="false" ht="15" hidden="false" customHeight="true" outlineLevel="0" collapsed="false">
      <c r="A456" s="56"/>
      <c r="B456" s="56"/>
      <c r="C456" s="56"/>
      <c r="D456" s="56"/>
      <c r="E456" s="16"/>
      <c r="F456" s="16"/>
      <c r="G456" s="67"/>
      <c r="H456" s="67"/>
      <c r="I456" s="67"/>
      <c r="J456" s="67"/>
      <c r="K456" s="56"/>
      <c r="L456" s="56"/>
      <c r="M456" s="66" t="str">
        <f aca="false">IF(OR($D456="",$F456=""),"",IF(COUNTIFS($D$7:$D456,$D456,$F$7:$F456,$F456)=1,1,0))</f>
        <v/>
      </c>
    </row>
    <row r="457" customFormat="false" ht="15" hidden="false" customHeight="true" outlineLevel="0" collapsed="false">
      <c r="A457" s="38"/>
      <c r="B457" s="38"/>
      <c r="C457" s="38"/>
      <c r="D457" s="38"/>
      <c r="E457" s="13"/>
      <c r="F457" s="13"/>
      <c r="G457" s="67"/>
      <c r="H457" s="67"/>
      <c r="I457" s="67"/>
      <c r="J457" s="67"/>
      <c r="K457" s="38"/>
      <c r="L457" s="38"/>
      <c r="M457" s="66" t="str">
        <f aca="false">IF(OR($D457="",$F457=""),"",IF(COUNTIFS($D$7:$D457,$D457,$F$7:$F457,$F457)=1,1,0))</f>
        <v/>
      </c>
    </row>
    <row r="458" customFormat="false" ht="15" hidden="false" customHeight="true" outlineLevel="0" collapsed="false">
      <c r="A458" s="56"/>
      <c r="B458" s="56"/>
      <c r="C458" s="56"/>
      <c r="D458" s="56"/>
      <c r="E458" s="16"/>
      <c r="F458" s="16"/>
      <c r="G458" s="67"/>
      <c r="H458" s="67"/>
      <c r="I458" s="67"/>
      <c r="J458" s="67"/>
      <c r="K458" s="56"/>
      <c r="L458" s="56"/>
      <c r="M458" s="66" t="str">
        <f aca="false">IF(OR($D458="",$F458=""),"",IF(COUNTIFS($D$7:$D458,$D458,$F$7:$F458,$F458)=1,1,0))</f>
        <v/>
      </c>
    </row>
    <row r="459" customFormat="false" ht="15" hidden="false" customHeight="true" outlineLevel="0" collapsed="false">
      <c r="A459" s="38"/>
      <c r="B459" s="38"/>
      <c r="C459" s="38"/>
      <c r="D459" s="38"/>
      <c r="E459" s="13"/>
      <c r="F459" s="13"/>
      <c r="G459" s="67"/>
      <c r="H459" s="67"/>
      <c r="I459" s="67"/>
      <c r="J459" s="67"/>
      <c r="K459" s="38"/>
      <c r="L459" s="38"/>
      <c r="M459" s="66" t="str">
        <f aca="false">IF(OR($D459="",$F459=""),"",IF(COUNTIFS($D$7:$D459,$D459,$F$7:$F459,$F459)=1,1,0))</f>
        <v/>
      </c>
    </row>
    <row r="460" customFormat="false" ht="15" hidden="false" customHeight="true" outlineLevel="0" collapsed="false">
      <c r="A460" s="56"/>
      <c r="B460" s="56"/>
      <c r="C460" s="56"/>
      <c r="D460" s="56"/>
      <c r="E460" s="16"/>
      <c r="F460" s="16"/>
      <c r="G460" s="67"/>
      <c r="H460" s="67"/>
      <c r="I460" s="67"/>
      <c r="J460" s="67"/>
      <c r="K460" s="56"/>
      <c r="L460" s="56"/>
      <c r="M460" s="66" t="str">
        <f aca="false">IF(OR($D460="",$F460=""),"",IF(COUNTIFS($D$7:$D460,$D460,$F$7:$F460,$F460)=1,1,0))</f>
        <v/>
      </c>
    </row>
    <row r="461" customFormat="false" ht="15" hidden="false" customHeight="true" outlineLevel="0" collapsed="false">
      <c r="A461" s="38"/>
      <c r="B461" s="38"/>
      <c r="C461" s="38"/>
      <c r="D461" s="38"/>
      <c r="E461" s="13"/>
      <c r="F461" s="13"/>
      <c r="G461" s="67"/>
      <c r="H461" s="67"/>
      <c r="I461" s="67"/>
      <c r="J461" s="67"/>
      <c r="K461" s="38"/>
      <c r="L461" s="38"/>
      <c r="M461" s="66" t="str">
        <f aca="false">IF(OR($D461="",$F461=""),"",IF(COUNTIFS($D$7:$D461,$D461,$F$7:$F461,$F461)=1,1,0))</f>
        <v/>
      </c>
    </row>
    <row r="462" customFormat="false" ht="15" hidden="false" customHeight="true" outlineLevel="0" collapsed="false">
      <c r="A462" s="56"/>
      <c r="B462" s="56"/>
      <c r="C462" s="56"/>
      <c r="D462" s="56"/>
      <c r="E462" s="16"/>
      <c r="F462" s="16"/>
      <c r="G462" s="67"/>
      <c r="H462" s="67"/>
      <c r="I462" s="67"/>
      <c r="J462" s="67"/>
      <c r="K462" s="56"/>
      <c r="L462" s="56"/>
      <c r="M462" s="66" t="str">
        <f aca="false">IF(OR($D462="",$F462=""),"",IF(COUNTIFS($D$7:$D462,$D462,$F$7:$F462,$F462)=1,1,0))</f>
        <v/>
      </c>
    </row>
    <row r="463" customFormat="false" ht="15" hidden="false" customHeight="true" outlineLevel="0" collapsed="false">
      <c r="A463" s="38"/>
      <c r="B463" s="38"/>
      <c r="C463" s="38"/>
      <c r="D463" s="38"/>
      <c r="E463" s="13"/>
      <c r="F463" s="13"/>
      <c r="G463" s="67"/>
      <c r="H463" s="67"/>
      <c r="I463" s="67"/>
      <c r="J463" s="67"/>
      <c r="K463" s="38"/>
      <c r="L463" s="38"/>
      <c r="M463" s="66" t="str">
        <f aca="false">IF(OR($D463="",$F463=""),"",IF(COUNTIFS($D$7:$D463,$D463,$F$7:$F463,$F463)=1,1,0))</f>
        <v/>
      </c>
    </row>
    <row r="464" customFormat="false" ht="15" hidden="false" customHeight="true" outlineLevel="0" collapsed="false">
      <c r="A464" s="56"/>
      <c r="B464" s="56"/>
      <c r="C464" s="56"/>
      <c r="D464" s="56"/>
      <c r="E464" s="16"/>
      <c r="F464" s="16"/>
      <c r="G464" s="67"/>
      <c r="H464" s="67"/>
      <c r="I464" s="67"/>
      <c r="J464" s="67"/>
      <c r="K464" s="56"/>
      <c r="L464" s="56"/>
      <c r="M464" s="66" t="str">
        <f aca="false">IF(OR($D464="",$F464=""),"",IF(COUNTIFS($D$7:$D464,$D464,$F$7:$F464,$F464)=1,1,0))</f>
        <v/>
      </c>
    </row>
    <row r="465" customFormat="false" ht="15" hidden="false" customHeight="true" outlineLevel="0" collapsed="false">
      <c r="A465" s="38"/>
      <c r="B465" s="38"/>
      <c r="C465" s="38"/>
      <c r="D465" s="38"/>
      <c r="E465" s="13"/>
      <c r="F465" s="13"/>
      <c r="G465" s="67"/>
      <c r="H465" s="67"/>
      <c r="I465" s="67"/>
      <c r="J465" s="67"/>
      <c r="K465" s="38"/>
      <c r="L465" s="38"/>
      <c r="M465" s="66" t="str">
        <f aca="false">IF(OR($D465="",$F465=""),"",IF(COUNTIFS($D$7:$D465,$D465,$F$7:$F465,$F465)=1,1,0))</f>
        <v/>
      </c>
    </row>
    <row r="466" customFormat="false" ht="15" hidden="false" customHeight="true" outlineLevel="0" collapsed="false">
      <c r="A466" s="56"/>
      <c r="B466" s="56"/>
      <c r="C466" s="56"/>
      <c r="D466" s="56"/>
      <c r="E466" s="16"/>
      <c r="F466" s="16"/>
      <c r="G466" s="67"/>
      <c r="H466" s="67"/>
      <c r="I466" s="67"/>
      <c r="J466" s="67"/>
      <c r="K466" s="56"/>
      <c r="L466" s="56"/>
      <c r="M466" s="66" t="str">
        <f aca="false">IF(OR($D466="",$F466=""),"",IF(COUNTIFS($D$7:$D466,$D466,$F$7:$F466,$F466)=1,1,0))</f>
        <v/>
      </c>
    </row>
    <row r="467" customFormat="false" ht="15" hidden="false" customHeight="true" outlineLevel="0" collapsed="false">
      <c r="A467" s="38"/>
      <c r="B467" s="38"/>
      <c r="C467" s="38"/>
      <c r="D467" s="38"/>
      <c r="E467" s="13"/>
      <c r="F467" s="13"/>
      <c r="G467" s="67"/>
      <c r="H467" s="67"/>
      <c r="I467" s="67"/>
      <c r="J467" s="67"/>
      <c r="K467" s="38"/>
      <c r="L467" s="38"/>
      <c r="M467" s="66" t="str">
        <f aca="false">IF(OR($D467="",$F467=""),"",IF(COUNTIFS($D$7:$D467,$D467,$F$7:$F467,$F467)=1,1,0))</f>
        <v/>
      </c>
    </row>
    <row r="468" customFormat="false" ht="15" hidden="false" customHeight="true" outlineLevel="0" collapsed="false">
      <c r="A468" s="56"/>
      <c r="B468" s="56"/>
      <c r="C468" s="56"/>
      <c r="D468" s="56"/>
      <c r="E468" s="16"/>
      <c r="F468" s="16"/>
      <c r="G468" s="67"/>
      <c r="H468" s="67"/>
      <c r="I468" s="67"/>
      <c r="J468" s="67"/>
      <c r="K468" s="56"/>
      <c r="L468" s="56"/>
      <c r="M468" s="66" t="str">
        <f aca="false">IF(OR($D468="",$F468=""),"",IF(COUNTIFS($D$7:$D468,$D468,$F$7:$F468,$F468)=1,1,0))</f>
        <v/>
      </c>
    </row>
    <row r="469" customFormat="false" ht="15" hidden="false" customHeight="true" outlineLevel="0" collapsed="false">
      <c r="A469" s="38"/>
      <c r="B469" s="38"/>
      <c r="C469" s="38"/>
      <c r="D469" s="38"/>
      <c r="E469" s="13"/>
      <c r="F469" s="13"/>
      <c r="G469" s="67"/>
      <c r="H469" s="67"/>
      <c r="I469" s="67"/>
      <c r="J469" s="67"/>
      <c r="K469" s="38"/>
      <c r="L469" s="38"/>
      <c r="M469" s="66" t="str">
        <f aca="false">IF(OR($D469="",$F469=""),"",IF(COUNTIFS($D$7:$D469,$D469,$F$7:$F469,$F469)=1,1,0))</f>
        <v/>
      </c>
    </row>
    <row r="470" customFormat="false" ht="15" hidden="false" customHeight="true" outlineLevel="0" collapsed="false">
      <c r="A470" s="56"/>
      <c r="B470" s="56"/>
      <c r="C470" s="56"/>
      <c r="D470" s="56"/>
      <c r="E470" s="16"/>
      <c r="F470" s="16"/>
      <c r="G470" s="67"/>
      <c r="H470" s="67"/>
      <c r="I470" s="67"/>
      <c r="J470" s="67"/>
      <c r="K470" s="56"/>
      <c r="L470" s="56"/>
      <c r="M470" s="66" t="str">
        <f aca="false">IF(OR($D470="",$F470=""),"",IF(COUNTIFS($D$7:$D470,$D470,$F$7:$F470,$F470)=1,1,0))</f>
        <v/>
      </c>
    </row>
    <row r="471" customFormat="false" ht="15" hidden="false" customHeight="true" outlineLevel="0" collapsed="false">
      <c r="A471" s="38"/>
      <c r="B471" s="38"/>
      <c r="C471" s="38"/>
      <c r="D471" s="38"/>
      <c r="E471" s="13"/>
      <c r="F471" s="13"/>
      <c r="G471" s="67"/>
      <c r="H471" s="67"/>
      <c r="I471" s="67"/>
      <c r="J471" s="67"/>
      <c r="K471" s="38"/>
      <c r="L471" s="38"/>
      <c r="M471" s="66" t="str">
        <f aca="false">IF(OR($D471="",$F471=""),"",IF(COUNTIFS($D$7:$D471,$D471,$F$7:$F471,$F471)=1,1,0))</f>
        <v/>
      </c>
    </row>
    <row r="472" customFormat="false" ht="15" hidden="false" customHeight="true" outlineLevel="0" collapsed="false">
      <c r="A472" s="56"/>
      <c r="B472" s="56"/>
      <c r="C472" s="56"/>
      <c r="D472" s="56"/>
      <c r="E472" s="16"/>
      <c r="F472" s="16"/>
      <c r="G472" s="67"/>
      <c r="H472" s="67"/>
      <c r="I472" s="67"/>
      <c r="J472" s="67"/>
      <c r="K472" s="56"/>
      <c r="L472" s="56"/>
      <c r="M472" s="66" t="str">
        <f aca="false">IF(OR($D472="",$F472=""),"",IF(COUNTIFS($D$7:$D472,$D472,$F$7:$F472,$F472)=1,1,0))</f>
        <v/>
      </c>
    </row>
    <row r="473" customFormat="false" ht="15" hidden="false" customHeight="true" outlineLevel="0" collapsed="false">
      <c r="A473" s="38"/>
      <c r="B473" s="38"/>
      <c r="C473" s="38"/>
      <c r="D473" s="38"/>
      <c r="E473" s="13"/>
      <c r="F473" s="13"/>
      <c r="G473" s="67"/>
      <c r="H473" s="67"/>
      <c r="I473" s="67"/>
      <c r="J473" s="67"/>
      <c r="K473" s="38"/>
      <c r="L473" s="38"/>
      <c r="M473" s="66" t="str">
        <f aca="false">IF(OR($D473="",$F473=""),"",IF(COUNTIFS($D$7:$D473,$D473,$F$7:$F473,$F473)=1,1,0))</f>
        <v/>
      </c>
    </row>
    <row r="474" customFormat="false" ht="15" hidden="false" customHeight="true" outlineLevel="0" collapsed="false">
      <c r="A474" s="56"/>
      <c r="B474" s="56"/>
      <c r="C474" s="56"/>
      <c r="D474" s="56"/>
      <c r="E474" s="16"/>
      <c r="F474" s="16"/>
      <c r="G474" s="67"/>
      <c r="H474" s="67"/>
      <c r="I474" s="67"/>
      <c r="J474" s="67"/>
      <c r="K474" s="56"/>
      <c r="L474" s="56"/>
      <c r="M474" s="66" t="str">
        <f aca="false">IF(OR($D474="",$F474=""),"",IF(COUNTIFS($D$7:$D474,$D474,$F$7:$F474,$F474)=1,1,0))</f>
        <v/>
      </c>
    </row>
    <row r="475" customFormat="false" ht="15" hidden="false" customHeight="true" outlineLevel="0" collapsed="false">
      <c r="A475" s="38"/>
      <c r="B475" s="38"/>
      <c r="C475" s="38"/>
      <c r="D475" s="38"/>
      <c r="E475" s="13"/>
      <c r="F475" s="13"/>
      <c r="G475" s="67"/>
      <c r="H475" s="67"/>
      <c r="I475" s="67"/>
      <c r="J475" s="67"/>
      <c r="K475" s="38"/>
      <c r="L475" s="38"/>
      <c r="M475" s="66" t="str">
        <f aca="false">IF(OR($D475="",$F475=""),"",IF(COUNTIFS($D$7:$D475,$D475,$F$7:$F475,$F475)=1,1,0))</f>
        <v/>
      </c>
    </row>
    <row r="476" customFormat="false" ht="15" hidden="false" customHeight="true" outlineLevel="0" collapsed="false">
      <c r="A476" s="56"/>
      <c r="B476" s="56"/>
      <c r="C476" s="56"/>
      <c r="D476" s="56"/>
      <c r="E476" s="16"/>
      <c r="F476" s="16"/>
      <c r="G476" s="67"/>
      <c r="H476" s="67"/>
      <c r="I476" s="67"/>
      <c r="J476" s="67"/>
      <c r="K476" s="56"/>
      <c r="L476" s="56"/>
      <c r="M476" s="66" t="str">
        <f aca="false">IF(OR($D476="",$F476=""),"",IF(COUNTIFS($D$7:$D476,$D476,$F$7:$F476,$F476)=1,1,0))</f>
        <v/>
      </c>
    </row>
    <row r="477" customFormat="false" ht="15" hidden="false" customHeight="true" outlineLevel="0" collapsed="false">
      <c r="A477" s="38"/>
      <c r="B477" s="38"/>
      <c r="C477" s="38"/>
      <c r="D477" s="38"/>
      <c r="E477" s="13"/>
      <c r="F477" s="13"/>
      <c r="G477" s="67"/>
      <c r="H477" s="67"/>
      <c r="I477" s="67"/>
      <c r="J477" s="67"/>
      <c r="K477" s="38"/>
      <c r="L477" s="38"/>
      <c r="M477" s="66" t="str">
        <f aca="false">IF(OR($D477="",$F477=""),"",IF(COUNTIFS($D$7:$D477,$D477,$F$7:$F477,$F477)=1,1,0))</f>
        <v/>
      </c>
    </row>
    <row r="478" customFormat="false" ht="15" hidden="false" customHeight="true" outlineLevel="0" collapsed="false">
      <c r="A478" s="56"/>
      <c r="B478" s="56"/>
      <c r="C478" s="56"/>
      <c r="D478" s="56"/>
      <c r="E478" s="16"/>
      <c r="F478" s="16"/>
      <c r="G478" s="67"/>
      <c r="H478" s="67"/>
      <c r="I478" s="67"/>
      <c r="J478" s="67"/>
      <c r="K478" s="56"/>
      <c r="L478" s="56"/>
      <c r="M478" s="66" t="str">
        <f aca="false">IF(OR($D478="",$F478=""),"",IF(COUNTIFS($D$7:$D478,$D478,$F$7:$F478,$F478)=1,1,0))</f>
        <v/>
      </c>
    </row>
    <row r="479" customFormat="false" ht="15" hidden="false" customHeight="true" outlineLevel="0" collapsed="false">
      <c r="A479" s="38"/>
      <c r="B479" s="38"/>
      <c r="C479" s="38"/>
      <c r="D479" s="38"/>
      <c r="E479" s="13"/>
      <c r="F479" s="13"/>
      <c r="G479" s="67"/>
      <c r="H479" s="67"/>
      <c r="I479" s="67"/>
      <c r="J479" s="67"/>
      <c r="K479" s="38"/>
      <c r="L479" s="38"/>
      <c r="M479" s="66" t="str">
        <f aca="false">IF(OR($D479="",$F479=""),"",IF(COUNTIFS($D$7:$D479,$D479,$F$7:$F479,$F479)=1,1,0))</f>
        <v/>
      </c>
    </row>
    <row r="480" customFormat="false" ht="15" hidden="false" customHeight="true" outlineLevel="0" collapsed="false">
      <c r="A480" s="56"/>
      <c r="B480" s="56"/>
      <c r="C480" s="56"/>
      <c r="D480" s="56"/>
      <c r="E480" s="16"/>
      <c r="F480" s="16"/>
      <c r="G480" s="67"/>
      <c r="H480" s="67"/>
      <c r="I480" s="67"/>
      <c r="J480" s="67"/>
      <c r="K480" s="56"/>
      <c r="L480" s="56"/>
      <c r="M480" s="66" t="str">
        <f aca="false">IF(OR($D480="",$F480=""),"",IF(COUNTIFS($D$7:$D480,$D480,$F$7:$F480,$F480)=1,1,0))</f>
        <v/>
      </c>
    </row>
    <row r="481" customFormat="false" ht="15" hidden="false" customHeight="true" outlineLevel="0" collapsed="false">
      <c r="A481" s="38"/>
      <c r="B481" s="38"/>
      <c r="C481" s="38"/>
      <c r="D481" s="38"/>
      <c r="E481" s="13"/>
      <c r="F481" s="13"/>
      <c r="G481" s="67"/>
      <c r="H481" s="67"/>
      <c r="I481" s="67"/>
      <c r="J481" s="67"/>
      <c r="K481" s="38"/>
      <c r="L481" s="38"/>
      <c r="M481" s="66" t="str">
        <f aca="false">IF(OR($D481="",$F481=""),"",IF(COUNTIFS($D$7:$D481,$D481,$F$7:$F481,$F481)=1,1,0))</f>
        <v/>
      </c>
    </row>
    <row r="482" customFormat="false" ht="15" hidden="false" customHeight="true" outlineLevel="0" collapsed="false">
      <c r="A482" s="56"/>
      <c r="B482" s="56"/>
      <c r="C482" s="56"/>
      <c r="D482" s="56"/>
      <c r="E482" s="16"/>
      <c r="F482" s="16"/>
      <c r="G482" s="67"/>
      <c r="H482" s="67"/>
      <c r="I482" s="67"/>
      <c r="J482" s="67"/>
      <c r="K482" s="56"/>
      <c r="L482" s="56"/>
      <c r="M482" s="66" t="str">
        <f aca="false">IF(OR($D482="",$F482=""),"",IF(COUNTIFS($D$7:$D482,$D482,$F$7:$F482,$F482)=1,1,0))</f>
        <v/>
      </c>
    </row>
    <row r="483" customFormat="false" ht="15" hidden="false" customHeight="true" outlineLevel="0" collapsed="false">
      <c r="A483" s="38"/>
      <c r="B483" s="38"/>
      <c r="C483" s="38"/>
      <c r="D483" s="38"/>
      <c r="E483" s="13"/>
      <c r="F483" s="13"/>
      <c r="G483" s="67"/>
      <c r="H483" s="67"/>
      <c r="I483" s="67"/>
      <c r="J483" s="67"/>
      <c r="K483" s="38"/>
      <c r="L483" s="38"/>
      <c r="M483" s="66" t="str">
        <f aca="false">IF(OR($D483="",$F483=""),"",IF(COUNTIFS($D$7:$D483,$D483,$F$7:$F483,$F483)=1,1,0))</f>
        <v/>
      </c>
    </row>
    <row r="484" customFormat="false" ht="15" hidden="false" customHeight="true" outlineLevel="0" collapsed="false">
      <c r="A484" s="56"/>
      <c r="B484" s="56"/>
      <c r="C484" s="56"/>
      <c r="D484" s="56"/>
      <c r="E484" s="16"/>
      <c r="F484" s="16"/>
      <c r="G484" s="67"/>
      <c r="H484" s="67"/>
      <c r="I484" s="67"/>
      <c r="J484" s="67"/>
      <c r="K484" s="56"/>
      <c r="L484" s="56"/>
      <c r="M484" s="66" t="str">
        <f aca="false">IF(OR($D484="",$F484=""),"",IF(COUNTIFS($D$7:$D484,$D484,$F$7:$F484,$F484)=1,1,0))</f>
        <v/>
      </c>
    </row>
    <row r="485" customFormat="false" ht="15" hidden="false" customHeight="true" outlineLevel="0" collapsed="false">
      <c r="A485" s="38"/>
      <c r="B485" s="38"/>
      <c r="C485" s="38"/>
      <c r="D485" s="38"/>
      <c r="E485" s="13"/>
      <c r="F485" s="13"/>
      <c r="G485" s="67"/>
      <c r="H485" s="67"/>
      <c r="I485" s="67"/>
      <c r="J485" s="67"/>
      <c r="K485" s="38"/>
      <c r="L485" s="38"/>
      <c r="M485" s="66" t="str">
        <f aca="false">IF(OR($D485="",$F485=""),"",IF(COUNTIFS($D$7:$D485,$D485,$F$7:$F485,$F485)=1,1,0))</f>
        <v/>
      </c>
    </row>
    <row r="486" customFormat="false" ht="15" hidden="false" customHeight="true" outlineLevel="0" collapsed="false">
      <c r="A486" s="56"/>
      <c r="B486" s="56"/>
      <c r="C486" s="56"/>
      <c r="D486" s="56"/>
      <c r="E486" s="16"/>
      <c r="F486" s="16"/>
      <c r="G486" s="67"/>
      <c r="H486" s="67"/>
      <c r="I486" s="67"/>
      <c r="J486" s="67"/>
      <c r="K486" s="56"/>
      <c r="L486" s="56"/>
      <c r="M486" s="66" t="str">
        <f aca="false">IF(OR($D486="",$F486=""),"",IF(COUNTIFS($D$7:$D486,$D486,$F$7:$F486,$F486)=1,1,0))</f>
        <v/>
      </c>
    </row>
    <row r="487" customFormat="false" ht="15" hidden="false" customHeight="true" outlineLevel="0" collapsed="false">
      <c r="A487" s="38"/>
      <c r="B487" s="38"/>
      <c r="C487" s="38"/>
      <c r="D487" s="38"/>
      <c r="E487" s="13"/>
      <c r="F487" s="13"/>
      <c r="G487" s="67"/>
      <c r="H487" s="67"/>
      <c r="I487" s="67"/>
      <c r="J487" s="67"/>
      <c r="K487" s="38"/>
      <c r="L487" s="38"/>
      <c r="M487" s="66" t="str">
        <f aca="false">IF(OR($D487="",$F487=""),"",IF(COUNTIFS($D$7:$D487,$D487,$F$7:$F487,$F487)=1,1,0))</f>
        <v/>
      </c>
    </row>
    <row r="488" customFormat="false" ht="15" hidden="false" customHeight="true" outlineLevel="0" collapsed="false">
      <c r="A488" s="56"/>
      <c r="B488" s="56"/>
      <c r="C488" s="56"/>
      <c r="D488" s="56"/>
      <c r="E488" s="16"/>
      <c r="F488" s="16"/>
      <c r="G488" s="67"/>
      <c r="H488" s="67"/>
      <c r="I488" s="67"/>
      <c r="J488" s="67"/>
      <c r="K488" s="56"/>
      <c r="L488" s="56"/>
      <c r="M488" s="66" t="str">
        <f aca="false">IF(OR($D488="",$F488=""),"",IF(COUNTIFS($D$7:$D488,$D488,$F$7:$F488,$F488)=1,1,0))</f>
        <v/>
      </c>
    </row>
    <row r="489" customFormat="false" ht="15" hidden="false" customHeight="true" outlineLevel="0" collapsed="false">
      <c r="A489" s="38"/>
      <c r="B489" s="38"/>
      <c r="C489" s="38"/>
      <c r="D489" s="38"/>
      <c r="E489" s="13"/>
      <c r="F489" s="13"/>
      <c r="G489" s="67"/>
      <c r="H489" s="67"/>
      <c r="I489" s="67"/>
      <c r="J489" s="67"/>
      <c r="K489" s="38"/>
      <c r="L489" s="38"/>
      <c r="M489" s="66" t="str">
        <f aca="false">IF(OR($D489="",$F489=""),"",IF(COUNTIFS($D$7:$D489,$D489,$F$7:$F489,$F489)=1,1,0))</f>
        <v/>
      </c>
    </row>
    <row r="490" customFormat="false" ht="15" hidden="false" customHeight="true" outlineLevel="0" collapsed="false">
      <c r="A490" s="56"/>
      <c r="B490" s="56"/>
      <c r="C490" s="56"/>
      <c r="D490" s="56"/>
      <c r="E490" s="16"/>
      <c r="F490" s="16"/>
      <c r="G490" s="67"/>
      <c r="H490" s="67"/>
      <c r="I490" s="67"/>
      <c r="J490" s="67"/>
      <c r="K490" s="56"/>
      <c r="L490" s="56"/>
      <c r="M490" s="66" t="str">
        <f aca="false">IF(OR($D490="",$F490=""),"",IF(COUNTIFS($D$7:$D490,$D490,$F$7:$F490,$F490)=1,1,0))</f>
        <v/>
      </c>
    </row>
    <row r="491" customFormat="false" ht="15" hidden="false" customHeight="true" outlineLevel="0" collapsed="false">
      <c r="A491" s="38"/>
      <c r="B491" s="38"/>
      <c r="C491" s="38"/>
      <c r="D491" s="38"/>
      <c r="E491" s="13"/>
      <c r="F491" s="13"/>
      <c r="G491" s="67"/>
      <c r="H491" s="67"/>
      <c r="I491" s="67"/>
      <c r="J491" s="67"/>
      <c r="K491" s="38"/>
      <c r="L491" s="38"/>
      <c r="M491" s="66" t="str">
        <f aca="false">IF(OR($D491="",$F491=""),"",IF(COUNTIFS($D$7:$D491,$D491,$F$7:$F491,$F491)=1,1,0))</f>
        <v/>
      </c>
    </row>
    <row r="492" customFormat="false" ht="15" hidden="false" customHeight="true" outlineLevel="0" collapsed="false">
      <c r="A492" s="56"/>
      <c r="B492" s="56"/>
      <c r="C492" s="56"/>
      <c r="D492" s="56"/>
      <c r="E492" s="16"/>
      <c r="F492" s="16"/>
      <c r="G492" s="67"/>
      <c r="H492" s="67"/>
      <c r="I492" s="67"/>
      <c r="J492" s="67"/>
      <c r="K492" s="56"/>
      <c r="L492" s="56"/>
      <c r="M492" s="66" t="str">
        <f aca="false">IF(OR($D492="",$F492=""),"",IF(COUNTIFS($D$7:$D492,$D492,$F$7:$F492,$F492)=1,1,0))</f>
        <v/>
      </c>
    </row>
    <row r="493" customFormat="false" ht="15" hidden="false" customHeight="true" outlineLevel="0" collapsed="false">
      <c r="A493" s="38"/>
      <c r="B493" s="38"/>
      <c r="C493" s="38"/>
      <c r="D493" s="38"/>
      <c r="E493" s="13"/>
      <c r="F493" s="13"/>
      <c r="G493" s="67"/>
      <c r="H493" s="67"/>
      <c r="I493" s="67"/>
      <c r="J493" s="67"/>
      <c r="K493" s="38"/>
      <c r="L493" s="38"/>
      <c r="M493" s="66" t="str">
        <f aca="false">IF(OR($D493="",$F493=""),"",IF(COUNTIFS($D$7:$D493,$D493,$F$7:$F493,$F493)=1,1,0))</f>
        <v/>
      </c>
    </row>
    <row r="494" customFormat="false" ht="15" hidden="false" customHeight="true" outlineLevel="0" collapsed="false">
      <c r="A494" s="56"/>
      <c r="B494" s="56"/>
      <c r="C494" s="56"/>
      <c r="D494" s="56"/>
      <c r="E494" s="16"/>
      <c r="F494" s="16"/>
      <c r="G494" s="67"/>
      <c r="H494" s="67"/>
      <c r="I494" s="67"/>
      <c r="J494" s="67"/>
      <c r="K494" s="56"/>
      <c r="L494" s="56"/>
      <c r="M494" s="66" t="str">
        <f aca="false">IF(OR($D494="",$F494=""),"",IF(COUNTIFS($D$7:$D494,$D494,$F$7:$F494,$F494)=1,1,0))</f>
        <v/>
      </c>
    </row>
    <row r="495" customFormat="false" ht="15" hidden="false" customHeight="true" outlineLevel="0" collapsed="false">
      <c r="A495" s="38"/>
      <c r="B495" s="38"/>
      <c r="C495" s="38"/>
      <c r="D495" s="38"/>
      <c r="E495" s="13"/>
      <c r="F495" s="13"/>
      <c r="G495" s="67"/>
      <c r="H495" s="67"/>
      <c r="I495" s="67"/>
      <c r="J495" s="67"/>
      <c r="K495" s="38"/>
      <c r="L495" s="38"/>
      <c r="M495" s="66" t="str">
        <f aca="false">IF(OR($D495="",$F495=""),"",IF(COUNTIFS($D$7:$D495,$D495,$F$7:$F495,$F495)=1,1,0))</f>
        <v/>
      </c>
    </row>
    <row r="496" customFormat="false" ht="15" hidden="false" customHeight="true" outlineLevel="0" collapsed="false">
      <c r="A496" s="56"/>
      <c r="B496" s="56"/>
      <c r="C496" s="56"/>
      <c r="D496" s="56"/>
      <c r="E496" s="16"/>
      <c r="F496" s="16"/>
      <c r="G496" s="67"/>
      <c r="H496" s="67"/>
      <c r="I496" s="67"/>
      <c r="J496" s="67"/>
      <c r="K496" s="56"/>
      <c r="L496" s="56"/>
      <c r="M496" s="66" t="str">
        <f aca="false">IF(OR($D496="",$F496=""),"",IF(COUNTIFS($D$7:$D496,$D496,$F$7:$F496,$F496)=1,1,0))</f>
        <v/>
      </c>
    </row>
    <row r="497" customFormat="false" ht="15" hidden="false" customHeight="true" outlineLevel="0" collapsed="false">
      <c r="A497" s="38"/>
      <c r="B497" s="38"/>
      <c r="C497" s="38"/>
      <c r="D497" s="38"/>
      <c r="E497" s="13"/>
      <c r="F497" s="13"/>
      <c r="G497" s="67"/>
      <c r="H497" s="67"/>
      <c r="I497" s="67"/>
      <c r="J497" s="67"/>
      <c r="K497" s="38"/>
      <c r="L497" s="38"/>
      <c r="M497" s="66" t="str">
        <f aca="false">IF(OR($D497="",$F497=""),"",IF(COUNTIFS($D$7:$D497,$D497,$F$7:$F497,$F497)=1,1,0))</f>
        <v/>
      </c>
    </row>
    <row r="498" customFormat="false" ht="15" hidden="false" customHeight="true" outlineLevel="0" collapsed="false">
      <c r="A498" s="56"/>
      <c r="B498" s="56"/>
      <c r="C498" s="56"/>
      <c r="D498" s="56"/>
      <c r="E498" s="16"/>
      <c r="F498" s="16"/>
      <c r="G498" s="67"/>
      <c r="H498" s="67"/>
      <c r="I498" s="67"/>
      <c r="J498" s="67"/>
      <c r="K498" s="56"/>
      <c r="L498" s="56"/>
      <c r="M498" s="66" t="str">
        <f aca="false">IF(OR($D498="",$F498=""),"",IF(COUNTIFS($D$7:$D498,$D498,$F$7:$F498,$F498)=1,1,0))</f>
        <v/>
      </c>
    </row>
    <row r="499" customFormat="false" ht="15" hidden="false" customHeight="true" outlineLevel="0" collapsed="false">
      <c r="A499" s="38"/>
      <c r="B499" s="38"/>
      <c r="C499" s="38"/>
      <c r="D499" s="38"/>
      <c r="E499" s="13"/>
      <c r="F499" s="13"/>
      <c r="G499" s="67"/>
      <c r="H499" s="67"/>
      <c r="I499" s="67"/>
      <c r="J499" s="67"/>
      <c r="K499" s="38"/>
      <c r="L499" s="38"/>
      <c r="M499" s="66" t="str">
        <f aca="false">IF(OR($D499="",$F499=""),"",IF(COUNTIFS($D$7:$D499,$D499,$F$7:$F499,$F499)=1,1,0))</f>
        <v/>
      </c>
    </row>
    <row r="500" customFormat="false" ht="15" hidden="false" customHeight="true" outlineLevel="0" collapsed="false">
      <c r="A500" s="56"/>
      <c r="B500" s="56"/>
      <c r="C500" s="56"/>
      <c r="D500" s="56"/>
      <c r="E500" s="16"/>
      <c r="F500" s="16"/>
      <c r="G500" s="67"/>
      <c r="H500" s="67"/>
      <c r="I500" s="67"/>
      <c r="J500" s="67"/>
      <c r="K500" s="56"/>
      <c r="L500" s="56"/>
      <c r="M500" s="66" t="str">
        <f aca="false">IF(OR($D500="",$F500=""),"",IF(COUNTIFS($D$7:$D500,$D500,$F$7:$F500,$F500)=1,1,0))</f>
        <v/>
      </c>
    </row>
    <row r="501" customFormat="false" ht="15" hidden="false" customHeight="true" outlineLevel="0" collapsed="false">
      <c r="A501" s="38"/>
      <c r="B501" s="38"/>
      <c r="C501" s="38"/>
      <c r="D501" s="38"/>
      <c r="E501" s="13"/>
      <c r="F501" s="13"/>
      <c r="G501" s="67"/>
      <c r="H501" s="67"/>
      <c r="I501" s="67"/>
      <c r="J501" s="67"/>
      <c r="K501" s="38"/>
      <c r="L501" s="38"/>
      <c r="M501" s="66" t="str">
        <f aca="false">IF(OR($D501="",$F501=""),"",IF(COUNTIFS($D$7:$D501,$D501,$F$7:$F501,$F501)=1,1,0))</f>
        <v/>
      </c>
    </row>
    <row r="502" customFormat="false" ht="15" hidden="false" customHeight="true" outlineLevel="0" collapsed="false">
      <c r="A502" s="56"/>
      <c r="B502" s="56"/>
      <c r="C502" s="56"/>
      <c r="D502" s="56"/>
      <c r="E502" s="16"/>
      <c r="F502" s="16"/>
      <c r="G502" s="67"/>
      <c r="H502" s="67"/>
      <c r="I502" s="67"/>
      <c r="J502" s="67"/>
      <c r="K502" s="56"/>
      <c r="L502" s="56"/>
      <c r="M502" s="66" t="str">
        <f aca="false">IF(OR($D502="",$F502=""),"",IF(COUNTIFS($D$7:$D502,$D502,$F$7:$F502,$F502)=1,1,0))</f>
        <v/>
      </c>
    </row>
    <row r="503" customFormat="false" ht="15" hidden="false" customHeight="true" outlineLevel="0" collapsed="false">
      <c r="A503" s="38"/>
      <c r="B503" s="38"/>
      <c r="C503" s="38"/>
      <c r="D503" s="38"/>
      <c r="E503" s="13"/>
      <c r="F503" s="13"/>
      <c r="G503" s="67"/>
      <c r="H503" s="67"/>
      <c r="I503" s="67"/>
      <c r="J503" s="67"/>
      <c r="K503" s="38"/>
      <c r="L503" s="38"/>
      <c r="M503" s="66" t="str">
        <f aca="false">IF(OR($D503="",$F503=""),"",IF(COUNTIFS($D$7:$D503,$D503,$F$7:$F503,$F503)=1,1,0))</f>
        <v/>
      </c>
    </row>
    <row r="504" customFormat="false" ht="15" hidden="false" customHeight="true" outlineLevel="0" collapsed="false">
      <c r="A504" s="56"/>
      <c r="B504" s="56"/>
      <c r="C504" s="56"/>
      <c r="D504" s="56"/>
      <c r="E504" s="16"/>
      <c r="F504" s="16"/>
      <c r="G504" s="67"/>
      <c r="H504" s="67"/>
      <c r="I504" s="67"/>
      <c r="J504" s="67"/>
      <c r="K504" s="56"/>
      <c r="L504" s="56"/>
      <c r="M504" s="66" t="str">
        <f aca="false">IF(OR($D504="",$F504=""),"",IF(COUNTIFS($D$7:$D504,$D504,$F$7:$F504,$F504)=1,1,0))</f>
        <v/>
      </c>
    </row>
    <row r="505" customFormat="false" ht="15" hidden="false" customHeight="true" outlineLevel="0" collapsed="false">
      <c r="A505" s="38"/>
      <c r="B505" s="38"/>
      <c r="C505" s="38"/>
      <c r="D505" s="38"/>
      <c r="E505" s="13"/>
      <c r="F505" s="13"/>
      <c r="G505" s="67"/>
      <c r="H505" s="67"/>
      <c r="I505" s="67"/>
      <c r="J505" s="67"/>
      <c r="K505" s="38"/>
      <c r="L505" s="38"/>
      <c r="M505" s="66" t="str">
        <f aca="false">IF(OR($D505="",$F505=""),"",IF(COUNTIFS($D$7:$D505,$D505,$F$7:$F505,$F505)=1,1,0))</f>
        <v/>
      </c>
    </row>
    <row r="506" customFormat="false" ht="15" hidden="false" customHeight="true" outlineLevel="0" collapsed="false">
      <c r="A506" s="56"/>
      <c r="B506" s="56"/>
      <c r="C506" s="56"/>
      <c r="D506" s="56"/>
      <c r="E506" s="16"/>
      <c r="F506" s="16"/>
      <c r="G506" s="67"/>
      <c r="H506" s="67"/>
      <c r="I506" s="67"/>
      <c r="J506" s="67"/>
      <c r="K506" s="56"/>
      <c r="L506" s="56"/>
      <c r="M506" s="66" t="str">
        <f aca="false">IF(OR($D506="",$F506=""),"",IF(COUNTIFS($D$7:$D506,$D506,$F$7:$F506,$F506)=1,1,0))</f>
        <v/>
      </c>
    </row>
    <row r="507" customFormat="false" ht="15" hidden="false" customHeight="true" outlineLevel="0" collapsed="false">
      <c r="A507" s="38"/>
      <c r="B507" s="38"/>
      <c r="C507" s="38"/>
      <c r="D507" s="38"/>
      <c r="E507" s="13"/>
      <c r="F507" s="13"/>
      <c r="G507" s="67"/>
      <c r="H507" s="67"/>
      <c r="I507" s="67"/>
      <c r="J507" s="67"/>
      <c r="K507" s="38"/>
      <c r="L507" s="38"/>
      <c r="M507" s="66" t="str">
        <f aca="false">IF(OR($D507="",$F507=""),"",IF(COUNTIFS($D$7:$D507,$D507,$F$7:$F507,$F507)=1,1,0))</f>
        <v/>
      </c>
    </row>
    <row r="508" customFormat="false" ht="15" hidden="false" customHeight="true" outlineLevel="0" collapsed="false">
      <c r="A508" s="56"/>
      <c r="B508" s="56"/>
      <c r="C508" s="56"/>
      <c r="D508" s="56"/>
      <c r="E508" s="16"/>
      <c r="F508" s="16"/>
      <c r="G508" s="67"/>
      <c r="H508" s="67"/>
      <c r="I508" s="67"/>
      <c r="J508" s="67"/>
      <c r="K508" s="56"/>
      <c r="L508" s="56"/>
      <c r="M508" s="66" t="str">
        <f aca="false">IF(OR($D508="",$F508=""),"",IF(COUNTIFS($D$7:$D508,$D508,$F$7:$F508,$F508)=1,1,0))</f>
        <v/>
      </c>
    </row>
    <row r="509" customFormat="false" ht="15" hidden="false" customHeight="true" outlineLevel="0" collapsed="false">
      <c r="A509" s="38"/>
      <c r="B509" s="38"/>
      <c r="C509" s="38"/>
      <c r="D509" s="38"/>
      <c r="E509" s="13"/>
      <c r="F509" s="13"/>
      <c r="G509" s="67"/>
      <c r="H509" s="67"/>
      <c r="I509" s="67"/>
      <c r="J509" s="67"/>
      <c r="K509" s="38"/>
      <c r="L509" s="38"/>
      <c r="M509" s="66" t="str">
        <f aca="false">IF(OR($D509="",$F509=""),"",IF(COUNTIFS($D$7:$D509,$D509,$F$7:$F509,$F509)=1,1,0))</f>
        <v/>
      </c>
    </row>
    <row r="510" customFormat="false" ht="15" hidden="false" customHeight="true" outlineLevel="0" collapsed="false">
      <c r="A510" s="56"/>
      <c r="B510" s="56"/>
      <c r="C510" s="56"/>
      <c r="D510" s="56"/>
      <c r="E510" s="16"/>
      <c r="F510" s="16"/>
      <c r="G510" s="67"/>
      <c r="H510" s="67"/>
      <c r="I510" s="67"/>
      <c r="J510" s="67"/>
      <c r="K510" s="56"/>
      <c r="L510" s="56"/>
      <c r="M510" s="66" t="str">
        <f aca="false">IF(OR($D510="",$F510=""),"",IF(COUNTIFS($D$7:$D510,$D510,$F$7:$F510,$F510)=1,1,0))</f>
        <v/>
      </c>
    </row>
    <row r="511" customFormat="false" ht="15" hidden="false" customHeight="true" outlineLevel="0" collapsed="false">
      <c r="A511" s="38"/>
      <c r="B511" s="38"/>
      <c r="C511" s="38"/>
      <c r="D511" s="38"/>
      <c r="E511" s="13"/>
      <c r="F511" s="13"/>
      <c r="G511" s="67"/>
      <c r="H511" s="67"/>
      <c r="I511" s="67"/>
      <c r="J511" s="67"/>
      <c r="K511" s="38"/>
      <c r="L511" s="38"/>
      <c r="M511" s="66" t="str">
        <f aca="false">IF(OR($D511="",$F511=""),"",IF(COUNTIFS($D$7:$D511,$D511,$F$7:$F511,$F511)=1,1,0))</f>
        <v/>
      </c>
    </row>
    <row r="512" customFormat="false" ht="15" hidden="false" customHeight="true" outlineLevel="0" collapsed="false">
      <c r="A512" s="56"/>
      <c r="B512" s="56"/>
      <c r="C512" s="56"/>
      <c r="D512" s="56"/>
      <c r="E512" s="16"/>
      <c r="F512" s="16"/>
      <c r="G512" s="67"/>
      <c r="H512" s="67"/>
      <c r="I512" s="67"/>
      <c r="J512" s="67"/>
      <c r="K512" s="56"/>
      <c r="L512" s="56"/>
      <c r="M512" s="66" t="str">
        <f aca="false">IF(OR($D512="",$F512=""),"",IF(COUNTIFS($D$7:$D512,$D512,$F$7:$F512,$F512)=1,1,0))</f>
        <v/>
      </c>
    </row>
    <row r="513" customFormat="false" ht="15" hidden="false" customHeight="true" outlineLevel="0" collapsed="false">
      <c r="A513" s="38"/>
      <c r="B513" s="38"/>
      <c r="C513" s="38"/>
      <c r="D513" s="38"/>
      <c r="E513" s="13"/>
      <c r="F513" s="13"/>
      <c r="G513" s="67"/>
      <c r="H513" s="67"/>
      <c r="I513" s="67"/>
      <c r="J513" s="67"/>
      <c r="K513" s="38"/>
      <c r="L513" s="38"/>
      <c r="M513" s="66" t="str">
        <f aca="false">IF(OR($D513="",$F513=""),"",IF(COUNTIFS($D$7:$D513,$D513,$F$7:$F513,$F513)=1,1,0))</f>
        <v/>
      </c>
    </row>
    <row r="514" customFormat="false" ht="15" hidden="false" customHeight="true" outlineLevel="0" collapsed="false">
      <c r="A514" s="56"/>
      <c r="B514" s="56"/>
      <c r="C514" s="56"/>
      <c r="D514" s="56"/>
      <c r="E514" s="16"/>
      <c r="F514" s="16"/>
      <c r="G514" s="67"/>
      <c r="H514" s="67"/>
      <c r="I514" s="67"/>
      <c r="J514" s="67"/>
      <c r="K514" s="56"/>
      <c r="L514" s="56"/>
      <c r="M514" s="66" t="str">
        <f aca="false">IF(OR($D514="",$F514=""),"",IF(COUNTIFS($D$7:$D514,$D514,$F$7:$F514,$F514)=1,1,0))</f>
        <v/>
      </c>
    </row>
    <row r="515" customFormat="false" ht="15" hidden="false" customHeight="true" outlineLevel="0" collapsed="false">
      <c r="A515" s="38"/>
      <c r="B515" s="38"/>
      <c r="C515" s="38"/>
      <c r="D515" s="38"/>
      <c r="E515" s="13"/>
      <c r="F515" s="13"/>
      <c r="G515" s="67"/>
      <c r="H515" s="67"/>
      <c r="I515" s="67"/>
      <c r="J515" s="67"/>
      <c r="K515" s="38"/>
      <c r="L515" s="38"/>
      <c r="M515" s="66" t="str">
        <f aca="false">IF(OR($D515="",$F515=""),"",IF(COUNTIFS($D$7:$D515,$D515,$F$7:$F515,$F515)=1,1,0))</f>
        <v/>
      </c>
    </row>
    <row r="516" customFormat="false" ht="15" hidden="false" customHeight="true" outlineLevel="0" collapsed="false">
      <c r="A516" s="56"/>
      <c r="B516" s="56"/>
      <c r="C516" s="56"/>
      <c r="D516" s="56"/>
      <c r="E516" s="16"/>
      <c r="F516" s="16"/>
      <c r="G516" s="67"/>
      <c r="H516" s="67"/>
      <c r="I516" s="67"/>
      <c r="J516" s="67"/>
      <c r="K516" s="56"/>
      <c r="L516" s="56"/>
      <c r="M516" s="66" t="str">
        <f aca="false">IF(OR($D516="",$F516=""),"",IF(COUNTIFS($D$7:$D516,$D516,$F$7:$F516,$F516)=1,1,0))</f>
        <v/>
      </c>
    </row>
    <row r="517" customFormat="false" ht="15" hidden="false" customHeight="true" outlineLevel="0" collapsed="false">
      <c r="A517" s="38"/>
      <c r="B517" s="38"/>
      <c r="C517" s="38"/>
      <c r="D517" s="38"/>
      <c r="E517" s="13"/>
      <c r="F517" s="13"/>
      <c r="G517" s="67"/>
      <c r="H517" s="67"/>
      <c r="I517" s="67"/>
      <c r="J517" s="67"/>
      <c r="K517" s="38"/>
      <c r="L517" s="38"/>
      <c r="M517" s="66" t="str">
        <f aca="false">IF(OR($D517="",$F517=""),"",IF(COUNTIFS($D$7:$D517,$D517,$F$7:$F517,$F517)=1,1,0))</f>
        <v/>
      </c>
    </row>
    <row r="518" customFormat="false" ht="15" hidden="false" customHeight="true" outlineLevel="0" collapsed="false">
      <c r="A518" s="56"/>
      <c r="B518" s="56"/>
      <c r="C518" s="56"/>
      <c r="D518" s="56"/>
      <c r="E518" s="16"/>
      <c r="F518" s="16"/>
      <c r="G518" s="67"/>
      <c r="H518" s="67"/>
      <c r="I518" s="67"/>
      <c r="J518" s="67"/>
      <c r="K518" s="56"/>
      <c r="L518" s="56"/>
      <c r="M518" s="66" t="str">
        <f aca="false">IF(OR($D518="",$F518=""),"",IF(COUNTIFS($D$7:$D518,$D518,$F$7:$F518,$F518)=1,1,0))</f>
        <v/>
      </c>
    </row>
    <row r="519" customFormat="false" ht="15" hidden="false" customHeight="true" outlineLevel="0" collapsed="false">
      <c r="A519" s="38"/>
      <c r="B519" s="38"/>
      <c r="C519" s="38"/>
      <c r="D519" s="38"/>
      <c r="E519" s="13"/>
      <c r="F519" s="13"/>
      <c r="G519" s="67"/>
      <c r="H519" s="67"/>
      <c r="I519" s="67"/>
      <c r="J519" s="67"/>
      <c r="K519" s="38"/>
      <c r="L519" s="38"/>
      <c r="M519" s="66" t="str">
        <f aca="false">IF(OR($D519="",$F519=""),"",IF(COUNTIFS($D$7:$D519,$D519,$F$7:$F519,$F519)=1,1,0))</f>
        <v/>
      </c>
    </row>
    <row r="520" customFormat="false" ht="15" hidden="false" customHeight="true" outlineLevel="0" collapsed="false">
      <c r="A520" s="56"/>
      <c r="B520" s="56"/>
      <c r="C520" s="56"/>
      <c r="D520" s="56"/>
      <c r="E520" s="16"/>
      <c r="F520" s="16"/>
      <c r="G520" s="67"/>
      <c r="H520" s="67"/>
      <c r="I520" s="67"/>
      <c r="J520" s="67"/>
      <c r="K520" s="56"/>
      <c r="L520" s="56"/>
      <c r="M520" s="66" t="str">
        <f aca="false">IF(OR($D520="",$F520=""),"",IF(COUNTIFS($D$7:$D520,$D520,$F$7:$F520,$F520)=1,1,0))</f>
        <v/>
      </c>
    </row>
    <row r="521" customFormat="false" ht="15" hidden="false" customHeight="true" outlineLevel="0" collapsed="false">
      <c r="A521" s="38"/>
      <c r="B521" s="38"/>
      <c r="C521" s="38"/>
      <c r="D521" s="38"/>
      <c r="E521" s="13"/>
      <c r="F521" s="13"/>
      <c r="G521" s="67"/>
      <c r="H521" s="67"/>
      <c r="I521" s="67"/>
      <c r="J521" s="67"/>
      <c r="K521" s="38"/>
      <c r="L521" s="38"/>
      <c r="M521" s="66" t="str">
        <f aca="false">IF(OR($D521="",$F521=""),"",IF(COUNTIFS($D$7:$D521,$D521,$F$7:$F521,$F521)=1,1,0))</f>
        <v/>
      </c>
    </row>
    <row r="522" customFormat="false" ht="15" hidden="false" customHeight="true" outlineLevel="0" collapsed="false">
      <c r="A522" s="56"/>
      <c r="B522" s="56"/>
      <c r="C522" s="56"/>
      <c r="D522" s="56"/>
      <c r="E522" s="16"/>
      <c r="F522" s="16"/>
      <c r="G522" s="67"/>
      <c r="H522" s="67"/>
      <c r="I522" s="67"/>
      <c r="J522" s="67"/>
      <c r="K522" s="56"/>
      <c r="L522" s="56"/>
      <c r="M522" s="66" t="str">
        <f aca="false">IF(OR($D522="",$F522=""),"",IF(COUNTIFS($D$7:$D522,$D522,$F$7:$F522,$F522)=1,1,0))</f>
        <v/>
      </c>
    </row>
    <row r="523" customFormat="false" ht="15" hidden="false" customHeight="true" outlineLevel="0" collapsed="false">
      <c r="A523" s="38"/>
      <c r="B523" s="38"/>
      <c r="C523" s="38"/>
      <c r="D523" s="38"/>
      <c r="E523" s="13"/>
      <c r="F523" s="13"/>
      <c r="G523" s="67"/>
      <c r="H523" s="67"/>
      <c r="I523" s="67"/>
      <c r="J523" s="67"/>
      <c r="K523" s="38"/>
      <c r="L523" s="38"/>
      <c r="M523" s="66" t="str">
        <f aca="false">IF(OR($D523="",$F523=""),"",IF(COUNTIFS($D$7:$D523,$D523,$F$7:$F523,$F523)=1,1,0))</f>
        <v/>
      </c>
    </row>
    <row r="524" customFormat="false" ht="15" hidden="false" customHeight="true" outlineLevel="0" collapsed="false">
      <c r="A524" s="56"/>
      <c r="B524" s="56"/>
      <c r="C524" s="56"/>
      <c r="D524" s="56"/>
      <c r="E524" s="16"/>
      <c r="F524" s="16"/>
      <c r="G524" s="67"/>
      <c r="H524" s="67"/>
      <c r="I524" s="67"/>
      <c r="J524" s="67"/>
      <c r="K524" s="56"/>
      <c r="L524" s="56"/>
      <c r="M524" s="66" t="str">
        <f aca="false">IF(OR($D524="",$F524=""),"",IF(COUNTIFS($D$7:$D524,$D524,$F$7:$F524,$F524)=1,1,0))</f>
        <v/>
      </c>
    </row>
    <row r="525" customFormat="false" ht="15" hidden="false" customHeight="true" outlineLevel="0" collapsed="false">
      <c r="A525" s="38"/>
      <c r="B525" s="38"/>
      <c r="C525" s="38"/>
      <c r="D525" s="38"/>
      <c r="E525" s="13"/>
      <c r="F525" s="13"/>
      <c r="G525" s="67"/>
      <c r="H525" s="67"/>
      <c r="I525" s="67"/>
      <c r="J525" s="67"/>
      <c r="K525" s="38"/>
      <c r="L525" s="38"/>
      <c r="M525" s="66" t="str">
        <f aca="false">IF(OR($D525="",$F525=""),"",IF(COUNTIFS($D$7:$D525,$D525,$F$7:$F525,$F525)=1,1,0))</f>
        <v/>
      </c>
    </row>
    <row r="526" customFormat="false" ht="15" hidden="false" customHeight="true" outlineLevel="0" collapsed="false">
      <c r="A526" s="56"/>
      <c r="B526" s="56"/>
      <c r="C526" s="56"/>
      <c r="D526" s="56"/>
      <c r="E526" s="16"/>
      <c r="F526" s="16"/>
      <c r="G526" s="67"/>
      <c r="H526" s="67"/>
      <c r="I526" s="67"/>
      <c r="J526" s="67"/>
      <c r="K526" s="56"/>
      <c r="L526" s="56"/>
      <c r="M526" s="66" t="str">
        <f aca="false">IF(OR($D526="",$F526=""),"",IF(COUNTIFS($D$7:$D526,$D526,$F$7:$F526,$F526)=1,1,0))</f>
        <v/>
      </c>
    </row>
    <row r="527" customFormat="false" ht="15" hidden="false" customHeight="true" outlineLevel="0" collapsed="false">
      <c r="A527" s="38"/>
      <c r="B527" s="38"/>
      <c r="C527" s="38"/>
      <c r="D527" s="38"/>
      <c r="E527" s="13"/>
      <c r="F527" s="13"/>
      <c r="G527" s="67"/>
      <c r="H527" s="67"/>
      <c r="I527" s="67"/>
      <c r="J527" s="67"/>
      <c r="K527" s="38"/>
      <c r="L527" s="38"/>
      <c r="M527" s="66" t="str">
        <f aca="false">IF(OR($D527="",$F527=""),"",IF(COUNTIFS($D$7:$D527,$D527,$F$7:$F527,$F527)=1,1,0))</f>
        <v/>
      </c>
    </row>
    <row r="528" customFormat="false" ht="15" hidden="false" customHeight="true" outlineLevel="0" collapsed="false">
      <c r="A528" s="56"/>
      <c r="B528" s="56"/>
      <c r="C528" s="56"/>
      <c r="D528" s="56"/>
      <c r="E528" s="16"/>
      <c r="F528" s="16"/>
      <c r="G528" s="67"/>
      <c r="H528" s="67"/>
      <c r="I528" s="67"/>
      <c r="J528" s="67"/>
      <c r="K528" s="56"/>
      <c r="L528" s="56"/>
      <c r="M528" s="66" t="str">
        <f aca="false">IF(OR($D528="",$F528=""),"",IF(COUNTIFS($D$7:$D528,$D528,$F$7:$F528,$F528)=1,1,0))</f>
        <v/>
      </c>
    </row>
    <row r="529" customFormat="false" ht="15" hidden="false" customHeight="true" outlineLevel="0" collapsed="false">
      <c r="A529" s="38"/>
      <c r="B529" s="38"/>
      <c r="C529" s="38"/>
      <c r="D529" s="38"/>
      <c r="E529" s="13"/>
      <c r="F529" s="13"/>
      <c r="G529" s="67"/>
      <c r="H529" s="67"/>
      <c r="I529" s="67"/>
      <c r="J529" s="67"/>
      <c r="K529" s="38"/>
      <c r="L529" s="38"/>
      <c r="M529" s="66" t="str">
        <f aca="false">IF(OR($D529="",$F529=""),"",IF(COUNTIFS($D$7:$D529,$D529,$F$7:$F529,$F529)=1,1,0))</f>
        <v/>
      </c>
    </row>
    <row r="530" customFormat="false" ht="15" hidden="false" customHeight="true" outlineLevel="0" collapsed="false">
      <c r="A530" s="56"/>
      <c r="B530" s="56"/>
      <c r="C530" s="56"/>
      <c r="D530" s="56"/>
      <c r="E530" s="16"/>
      <c r="F530" s="16"/>
      <c r="G530" s="67"/>
      <c r="H530" s="67"/>
      <c r="I530" s="67"/>
      <c r="J530" s="67"/>
      <c r="K530" s="56"/>
      <c r="L530" s="56"/>
      <c r="M530" s="66" t="str">
        <f aca="false">IF(OR($D530="",$F530=""),"",IF(COUNTIFS($D$7:$D530,$D530,$F$7:$F530,$F530)=1,1,0))</f>
        <v/>
      </c>
    </row>
    <row r="531" customFormat="false" ht="15" hidden="false" customHeight="true" outlineLevel="0" collapsed="false">
      <c r="A531" s="38"/>
      <c r="B531" s="38"/>
      <c r="C531" s="38"/>
      <c r="D531" s="38"/>
      <c r="E531" s="13"/>
      <c r="F531" s="13"/>
      <c r="G531" s="67"/>
      <c r="H531" s="67"/>
      <c r="I531" s="67"/>
      <c r="J531" s="67"/>
      <c r="K531" s="38"/>
      <c r="L531" s="38"/>
      <c r="M531" s="66" t="str">
        <f aca="false">IF(OR($D531="",$F531=""),"",IF(COUNTIFS($D$7:$D531,$D531,$F$7:$F531,$F531)=1,1,0))</f>
        <v/>
      </c>
    </row>
    <row r="532" customFormat="false" ht="15" hidden="false" customHeight="true" outlineLevel="0" collapsed="false">
      <c r="A532" s="56"/>
      <c r="B532" s="56"/>
      <c r="C532" s="56"/>
      <c r="D532" s="56"/>
      <c r="E532" s="16"/>
      <c r="F532" s="16"/>
      <c r="G532" s="67"/>
      <c r="H532" s="67"/>
      <c r="I532" s="67"/>
      <c r="J532" s="67"/>
      <c r="K532" s="56"/>
      <c r="L532" s="56"/>
      <c r="M532" s="66" t="str">
        <f aca="false">IF(OR($D532="",$F532=""),"",IF(COUNTIFS($D$7:$D532,$D532,$F$7:$F532,$F532)=1,1,0))</f>
        <v/>
      </c>
    </row>
    <row r="533" customFormat="false" ht="15" hidden="false" customHeight="true" outlineLevel="0" collapsed="false">
      <c r="A533" s="38"/>
      <c r="B533" s="38"/>
      <c r="C533" s="38"/>
      <c r="D533" s="38"/>
      <c r="E533" s="13"/>
      <c r="F533" s="13"/>
      <c r="G533" s="67"/>
      <c r="H533" s="67"/>
      <c r="I533" s="67"/>
      <c r="J533" s="67"/>
      <c r="K533" s="38"/>
      <c r="L533" s="38"/>
      <c r="M533" s="66" t="str">
        <f aca="false">IF(OR($D533="",$F533=""),"",IF(COUNTIFS($D$7:$D533,$D533,$F$7:$F533,$F533)=1,1,0))</f>
        <v/>
      </c>
    </row>
    <row r="534" customFormat="false" ht="15" hidden="false" customHeight="true" outlineLevel="0" collapsed="false">
      <c r="A534" s="56"/>
      <c r="B534" s="56"/>
      <c r="C534" s="56"/>
      <c r="D534" s="56"/>
      <c r="E534" s="16"/>
      <c r="F534" s="16"/>
      <c r="G534" s="67"/>
      <c r="H534" s="67"/>
      <c r="I534" s="67"/>
      <c r="J534" s="67"/>
      <c r="K534" s="56"/>
      <c r="L534" s="56"/>
      <c r="M534" s="66" t="str">
        <f aca="false">IF(OR($D534="",$F534=""),"",IF(COUNTIFS($D$7:$D534,$D534,$F$7:$F534,$F534)=1,1,0))</f>
        <v/>
      </c>
    </row>
    <row r="535" customFormat="false" ht="15" hidden="false" customHeight="true" outlineLevel="0" collapsed="false">
      <c r="A535" s="38"/>
      <c r="B535" s="38"/>
      <c r="C535" s="38"/>
      <c r="D535" s="38"/>
      <c r="E535" s="13"/>
      <c r="F535" s="13"/>
      <c r="G535" s="67"/>
      <c r="H535" s="67"/>
      <c r="I535" s="67"/>
      <c r="J535" s="67"/>
      <c r="K535" s="38"/>
      <c r="L535" s="38"/>
      <c r="M535" s="66" t="str">
        <f aca="false">IF(OR($D535="",$F535=""),"",IF(COUNTIFS($D$7:$D535,$D535,$F$7:$F535,$F535)=1,1,0))</f>
        <v/>
      </c>
    </row>
    <row r="536" customFormat="false" ht="15" hidden="false" customHeight="true" outlineLevel="0" collapsed="false">
      <c r="A536" s="56"/>
      <c r="B536" s="56"/>
      <c r="C536" s="56"/>
      <c r="D536" s="56"/>
      <c r="E536" s="16"/>
      <c r="F536" s="16"/>
      <c r="G536" s="67"/>
      <c r="H536" s="67"/>
      <c r="I536" s="67"/>
      <c r="J536" s="67"/>
      <c r="K536" s="56"/>
      <c r="L536" s="56"/>
      <c r="M536" s="66" t="str">
        <f aca="false">IF(OR($D536="",$F536=""),"",IF(COUNTIFS($D$7:$D536,$D536,$F$7:$F536,$F536)=1,1,0))</f>
        <v/>
      </c>
    </row>
    <row r="537" customFormat="false" ht="15" hidden="false" customHeight="true" outlineLevel="0" collapsed="false">
      <c r="A537" s="38"/>
      <c r="B537" s="38"/>
      <c r="C537" s="38"/>
      <c r="D537" s="38"/>
      <c r="E537" s="13"/>
      <c r="F537" s="13"/>
      <c r="G537" s="67"/>
      <c r="H537" s="67"/>
      <c r="I537" s="67"/>
      <c r="J537" s="67"/>
      <c r="K537" s="38"/>
      <c r="L537" s="38"/>
      <c r="M537" s="66" t="str">
        <f aca="false">IF(OR($D537="",$F537=""),"",IF(COUNTIFS($D$7:$D537,$D537,$F$7:$F537,$F537)=1,1,0))</f>
        <v/>
      </c>
    </row>
    <row r="538" customFormat="false" ht="15" hidden="false" customHeight="true" outlineLevel="0" collapsed="false">
      <c r="A538" s="56"/>
      <c r="B538" s="56"/>
      <c r="C538" s="56"/>
      <c r="D538" s="56"/>
      <c r="E538" s="16"/>
      <c r="F538" s="16"/>
      <c r="G538" s="67"/>
      <c r="H538" s="67"/>
      <c r="I538" s="67"/>
      <c r="J538" s="67"/>
      <c r="K538" s="56"/>
      <c r="L538" s="56"/>
      <c r="M538" s="66" t="str">
        <f aca="false">IF(OR($D538="",$F538=""),"",IF(COUNTIFS($D$7:$D538,$D538,$F$7:$F538,$F538)=1,1,0))</f>
        <v/>
      </c>
    </row>
    <row r="539" customFormat="false" ht="15" hidden="false" customHeight="true" outlineLevel="0" collapsed="false">
      <c r="A539" s="38"/>
      <c r="B539" s="38"/>
      <c r="C539" s="38"/>
      <c r="D539" s="38"/>
      <c r="E539" s="13"/>
      <c r="F539" s="13"/>
      <c r="G539" s="67"/>
      <c r="H539" s="67"/>
      <c r="I539" s="67"/>
      <c r="J539" s="67"/>
      <c r="K539" s="38"/>
      <c r="L539" s="38"/>
      <c r="M539" s="66" t="str">
        <f aca="false">IF(OR($D539="",$F539=""),"",IF(COUNTIFS($D$7:$D539,$D539,$F$7:$F539,$F539)=1,1,0))</f>
        <v/>
      </c>
    </row>
    <row r="540" customFormat="false" ht="15" hidden="false" customHeight="true" outlineLevel="0" collapsed="false">
      <c r="A540" s="56"/>
      <c r="B540" s="56"/>
      <c r="C540" s="56"/>
      <c r="D540" s="56"/>
      <c r="E540" s="16"/>
      <c r="F540" s="16"/>
      <c r="G540" s="67"/>
      <c r="H540" s="67"/>
      <c r="I540" s="67"/>
      <c r="J540" s="67"/>
      <c r="K540" s="56"/>
      <c r="L540" s="56"/>
      <c r="M540" s="66" t="str">
        <f aca="false">IF(OR($D540="",$F540=""),"",IF(COUNTIFS($D$7:$D540,$D540,$F$7:$F540,$F540)=1,1,0))</f>
        <v/>
      </c>
    </row>
    <row r="541" customFormat="false" ht="15" hidden="false" customHeight="true" outlineLevel="0" collapsed="false">
      <c r="A541" s="38"/>
      <c r="B541" s="38"/>
      <c r="C541" s="38"/>
      <c r="D541" s="38"/>
      <c r="E541" s="13"/>
      <c r="F541" s="13"/>
      <c r="G541" s="67"/>
      <c r="H541" s="67"/>
      <c r="I541" s="67"/>
      <c r="J541" s="67"/>
      <c r="K541" s="38"/>
      <c r="L541" s="38"/>
      <c r="M541" s="66" t="str">
        <f aca="false">IF(OR($D541="",$F541=""),"",IF(COUNTIFS($D$7:$D541,$D541,$F$7:$F541,$F541)=1,1,0))</f>
        <v/>
      </c>
    </row>
    <row r="542" customFormat="false" ht="15" hidden="false" customHeight="true" outlineLevel="0" collapsed="false">
      <c r="A542" s="56"/>
      <c r="B542" s="56"/>
      <c r="C542" s="56"/>
      <c r="D542" s="56"/>
      <c r="E542" s="16"/>
      <c r="F542" s="16"/>
      <c r="G542" s="67"/>
      <c r="H542" s="67"/>
      <c r="I542" s="67"/>
      <c r="J542" s="67"/>
      <c r="K542" s="56"/>
      <c r="L542" s="56"/>
      <c r="M542" s="66" t="str">
        <f aca="false">IF(OR($D542="",$F542=""),"",IF(COUNTIFS($D$7:$D542,$D542,$F$7:$F542,$F542)=1,1,0))</f>
        <v/>
      </c>
    </row>
    <row r="543" customFormat="false" ht="15" hidden="false" customHeight="true" outlineLevel="0" collapsed="false">
      <c r="A543" s="38"/>
      <c r="B543" s="38"/>
      <c r="C543" s="38"/>
      <c r="D543" s="38"/>
      <c r="E543" s="13"/>
      <c r="F543" s="13"/>
      <c r="G543" s="67"/>
      <c r="H543" s="67"/>
      <c r="I543" s="67"/>
      <c r="J543" s="67"/>
      <c r="K543" s="38"/>
      <c r="L543" s="38"/>
      <c r="M543" s="66" t="str">
        <f aca="false">IF(OR($D543="",$F543=""),"",IF(COUNTIFS($D$7:$D543,$D543,$F$7:$F543,$F543)=1,1,0))</f>
        <v/>
      </c>
    </row>
    <row r="544" customFormat="false" ht="15" hidden="false" customHeight="true" outlineLevel="0" collapsed="false">
      <c r="A544" s="56"/>
      <c r="B544" s="56"/>
      <c r="C544" s="56"/>
      <c r="D544" s="56"/>
      <c r="E544" s="16"/>
      <c r="F544" s="16"/>
      <c r="G544" s="67"/>
      <c r="H544" s="67"/>
      <c r="I544" s="67"/>
      <c r="J544" s="67"/>
      <c r="K544" s="56"/>
      <c r="L544" s="56"/>
      <c r="M544" s="66" t="str">
        <f aca="false">IF(OR($D544="",$F544=""),"",IF(COUNTIFS($D$7:$D544,$D544,$F$7:$F544,$F544)=1,1,0))</f>
        <v/>
      </c>
    </row>
    <row r="545" customFormat="false" ht="15" hidden="false" customHeight="true" outlineLevel="0" collapsed="false">
      <c r="A545" s="38"/>
      <c r="B545" s="38"/>
      <c r="C545" s="38"/>
      <c r="D545" s="38"/>
      <c r="E545" s="13"/>
      <c r="F545" s="13"/>
      <c r="G545" s="67"/>
      <c r="H545" s="67"/>
      <c r="I545" s="67"/>
      <c r="J545" s="67"/>
      <c r="K545" s="38"/>
      <c r="L545" s="38"/>
      <c r="M545" s="66" t="str">
        <f aca="false">IF(OR($D545="",$F545=""),"",IF(COUNTIFS($D$7:$D545,$D545,$F$7:$F545,$F545)=1,1,0))</f>
        <v/>
      </c>
    </row>
    <row r="546" customFormat="false" ht="15" hidden="false" customHeight="true" outlineLevel="0" collapsed="false">
      <c r="A546" s="56"/>
      <c r="B546" s="56"/>
      <c r="C546" s="56"/>
      <c r="D546" s="56"/>
      <c r="E546" s="16"/>
      <c r="F546" s="16"/>
      <c r="G546" s="67"/>
      <c r="H546" s="67"/>
      <c r="I546" s="67"/>
      <c r="J546" s="67"/>
      <c r="K546" s="56"/>
      <c r="L546" s="56"/>
      <c r="M546" s="66" t="str">
        <f aca="false">IF(OR($D546="",$F546=""),"",IF(COUNTIFS($D$7:$D546,$D546,$F$7:$F546,$F546)=1,1,0))</f>
        <v/>
      </c>
    </row>
    <row r="547" customFormat="false" ht="15" hidden="false" customHeight="true" outlineLevel="0" collapsed="false">
      <c r="A547" s="38"/>
      <c r="B547" s="38"/>
      <c r="C547" s="38"/>
      <c r="D547" s="38"/>
      <c r="E547" s="13"/>
      <c r="F547" s="13"/>
      <c r="G547" s="67"/>
      <c r="H547" s="67"/>
      <c r="I547" s="67"/>
      <c r="J547" s="67"/>
      <c r="K547" s="38"/>
      <c r="L547" s="38"/>
      <c r="M547" s="66" t="str">
        <f aca="false">IF(OR($D547="",$F547=""),"",IF(COUNTIFS($D$7:$D547,$D547,$F$7:$F547,$F547)=1,1,0))</f>
        <v/>
      </c>
    </row>
    <row r="548" customFormat="false" ht="15" hidden="false" customHeight="true" outlineLevel="0" collapsed="false">
      <c r="A548" s="56"/>
      <c r="B548" s="56"/>
      <c r="C548" s="56"/>
      <c r="D548" s="56"/>
      <c r="E548" s="16"/>
      <c r="F548" s="16"/>
      <c r="G548" s="67"/>
      <c r="H548" s="67"/>
      <c r="I548" s="67"/>
      <c r="J548" s="67"/>
      <c r="K548" s="56"/>
      <c r="L548" s="56"/>
      <c r="M548" s="66" t="str">
        <f aca="false">IF(OR($D548="",$F548=""),"",IF(COUNTIFS($D$7:$D548,$D548,$F$7:$F548,$F548)=1,1,0))</f>
        <v/>
      </c>
    </row>
    <row r="549" customFormat="false" ht="15" hidden="false" customHeight="true" outlineLevel="0" collapsed="false">
      <c r="A549" s="38"/>
      <c r="B549" s="38"/>
      <c r="C549" s="38"/>
      <c r="D549" s="38"/>
      <c r="E549" s="13"/>
      <c r="F549" s="13"/>
      <c r="G549" s="67"/>
      <c r="H549" s="67"/>
      <c r="I549" s="67"/>
      <c r="J549" s="67"/>
      <c r="K549" s="38"/>
      <c r="L549" s="38"/>
      <c r="M549" s="66" t="str">
        <f aca="false">IF(OR($D549="",$F549=""),"",IF(COUNTIFS($D$7:$D549,$D549,$F$7:$F549,$F549)=1,1,0))</f>
        <v/>
      </c>
    </row>
    <row r="550" customFormat="false" ht="15" hidden="false" customHeight="true" outlineLevel="0" collapsed="false">
      <c r="A550" s="56"/>
      <c r="B550" s="56"/>
      <c r="C550" s="56"/>
      <c r="D550" s="56"/>
      <c r="E550" s="16"/>
      <c r="F550" s="16"/>
      <c r="G550" s="67"/>
      <c r="H550" s="67"/>
      <c r="I550" s="67"/>
      <c r="J550" s="67"/>
      <c r="K550" s="56"/>
      <c r="L550" s="56"/>
      <c r="M550" s="66" t="str">
        <f aca="false">IF(OR($D550="",$F550=""),"",IF(COUNTIFS($D$7:$D550,$D550,$F$7:$F550,$F550)=1,1,0))</f>
        <v/>
      </c>
    </row>
    <row r="551" customFormat="false" ht="15" hidden="false" customHeight="true" outlineLevel="0" collapsed="false">
      <c r="A551" s="38"/>
      <c r="B551" s="38"/>
      <c r="C551" s="38"/>
      <c r="D551" s="38"/>
      <c r="E551" s="13"/>
      <c r="F551" s="13"/>
      <c r="G551" s="67"/>
      <c r="H551" s="67"/>
      <c r="I551" s="67"/>
      <c r="J551" s="67"/>
      <c r="K551" s="38"/>
      <c r="L551" s="38"/>
      <c r="M551" s="66" t="str">
        <f aca="false">IF(OR($D551="",$F551=""),"",IF(COUNTIFS($D$7:$D551,$D551,$F$7:$F551,$F551)=1,1,0))</f>
        <v/>
      </c>
    </row>
    <row r="552" customFormat="false" ht="15" hidden="false" customHeight="true" outlineLevel="0" collapsed="false">
      <c r="A552" s="56"/>
      <c r="B552" s="56"/>
      <c r="C552" s="56"/>
      <c r="D552" s="56"/>
      <c r="E552" s="16"/>
      <c r="F552" s="16"/>
      <c r="G552" s="67"/>
      <c r="H552" s="67"/>
      <c r="I552" s="67"/>
      <c r="J552" s="67"/>
      <c r="K552" s="56"/>
      <c r="L552" s="56"/>
      <c r="M552" s="66" t="str">
        <f aca="false">IF(OR($D552="",$F552=""),"",IF(COUNTIFS($D$7:$D552,$D552,$F$7:$F552,$F552)=1,1,0))</f>
        <v/>
      </c>
    </row>
    <row r="553" customFormat="false" ht="15" hidden="false" customHeight="true" outlineLevel="0" collapsed="false">
      <c r="A553" s="38"/>
      <c r="B553" s="38"/>
      <c r="C553" s="38"/>
      <c r="D553" s="38"/>
      <c r="E553" s="13"/>
      <c r="F553" s="13"/>
      <c r="G553" s="67"/>
      <c r="H553" s="67"/>
      <c r="I553" s="67"/>
      <c r="J553" s="67"/>
      <c r="K553" s="38"/>
      <c r="L553" s="38"/>
      <c r="M553" s="66" t="str">
        <f aca="false">IF(OR($D553="",$F553=""),"",IF(COUNTIFS($D$7:$D553,$D553,$F$7:$F553,$F553)=1,1,0))</f>
        <v/>
      </c>
    </row>
    <row r="554" customFormat="false" ht="15" hidden="false" customHeight="true" outlineLevel="0" collapsed="false">
      <c r="A554" s="56"/>
      <c r="B554" s="56"/>
      <c r="C554" s="56"/>
      <c r="D554" s="56"/>
      <c r="E554" s="16"/>
      <c r="F554" s="16"/>
      <c r="G554" s="67"/>
      <c r="H554" s="67"/>
      <c r="I554" s="67"/>
      <c r="J554" s="67"/>
      <c r="K554" s="56"/>
      <c r="L554" s="56"/>
      <c r="M554" s="66" t="str">
        <f aca="false">IF(OR($D554="",$F554=""),"",IF(COUNTIFS($D$7:$D554,$D554,$F$7:$F554,$F554)=1,1,0))</f>
        <v/>
      </c>
    </row>
    <row r="555" customFormat="false" ht="15" hidden="false" customHeight="true" outlineLevel="0" collapsed="false">
      <c r="A555" s="38"/>
      <c r="B555" s="38"/>
      <c r="C555" s="38"/>
      <c r="D555" s="38"/>
      <c r="E555" s="13"/>
      <c r="F555" s="13"/>
      <c r="G555" s="67"/>
      <c r="H555" s="67"/>
      <c r="I555" s="67"/>
      <c r="J555" s="67"/>
      <c r="K555" s="38"/>
      <c r="L555" s="38"/>
      <c r="M555" s="66" t="str">
        <f aca="false">IF(OR($D555="",$F555=""),"",IF(COUNTIFS($D$7:$D555,$D555,$F$7:$F555,$F555)=1,1,0))</f>
        <v/>
      </c>
    </row>
    <row r="556" customFormat="false" ht="15" hidden="false" customHeight="true" outlineLevel="0" collapsed="false">
      <c r="A556" s="56"/>
      <c r="B556" s="56"/>
      <c r="C556" s="56"/>
      <c r="D556" s="56"/>
      <c r="E556" s="16"/>
      <c r="F556" s="16"/>
      <c r="G556" s="67"/>
      <c r="H556" s="67"/>
      <c r="I556" s="67"/>
      <c r="J556" s="67"/>
      <c r="K556" s="56"/>
      <c r="L556" s="56"/>
      <c r="M556" s="66" t="str">
        <f aca="false">IF(OR($D556="",$F556=""),"",IF(COUNTIFS($D$7:$D556,$D556,$F$7:$F556,$F556)=1,1,0))</f>
        <v/>
      </c>
    </row>
    <row r="557" customFormat="false" ht="15" hidden="false" customHeight="true" outlineLevel="0" collapsed="false">
      <c r="A557" s="38"/>
      <c r="B557" s="38"/>
      <c r="C557" s="38"/>
      <c r="D557" s="38"/>
      <c r="E557" s="13"/>
      <c r="F557" s="13"/>
      <c r="G557" s="67"/>
      <c r="H557" s="67"/>
      <c r="I557" s="67"/>
      <c r="J557" s="67"/>
      <c r="K557" s="38"/>
      <c r="L557" s="38"/>
      <c r="M557" s="66" t="str">
        <f aca="false">IF(OR($D557="",$F557=""),"",IF(COUNTIFS($D$7:$D557,$D557,$F$7:$F557,$F557)=1,1,0))</f>
        <v/>
      </c>
    </row>
    <row r="558" customFormat="false" ht="15" hidden="false" customHeight="true" outlineLevel="0" collapsed="false">
      <c r="A558" s="56"/>
      <c r="B558" s="56"/>
      <c r="C558" s="56"/>
      <c r="D558" s="56"/>
      <c r="E558" s="16"/>
      <c r="F558" s="16"/>
      <c r="G558" s="67"/>
      <c r="H558" s="67"/>
      <c r="I558" s="67"/>
      <c r="J558" s="67"/>
      <c r="K558" s="56"/>
      <c r="L558" s="56"/>
      <c r="M558" s="66" t="str">
        <f aca="false">IF(OR($D558="",$F558=""),"",IF(COUNTIFS($D$7:$D558,$D558,$F$7:$F558,$F558)=1,1,0))</f>
        <v/>
      </c>
    </row>
    <row r="559" customFormat="false" ht="15" hidden="false" customHeight="true" outlineLevel="0" collapsed="false">
      <c r="A559" s="38"/>
      <c r="B559" s="38"/>
      <c r="C559" s="38"/>
      <c r="D559" s="38"/>
      <c r="E559" s="13"/>
      <c r="F559" s="13"/>
      <c r="G559" s="67"/>
      <c r="H559" s="67"/>
      <c r="I559" s="67"/>
      <c r="J559" s="67"/>
      <c r="K559" s="38"/>
      <c r="L559" s="38"/>
      <c r="M559" s="66" t="str">
        <f aca="false">IF(OR($D559="",$F559=""),"",IF(COUNTIFS($D$7:$D559,$D559,$F$7:$F559,$F559)=1,1,0))</f>
        <v/>
      </c>
    </row>
    <row r="560" customFormat="false" ht="15" hidden="false" customHeight="true" outlineLevel="0" collapsed="false">
      <c r="A560" s="56"/>
      <c r="B560" s="56"/>
      <c r="C560" s="56"/>
      <c r="D560" s="56"/>
      <c r="E560" s="16"/>
      <c r="F560" s="16"/>
      <c r="G560" s="67"/>
      <c r="H560" s="67"/>
      <c r="I560" s="67"/>
      <c r="J560" s="67"/>
      <c r="K560" s="56"/>
      <c r="L560" s="56"/>
      <c r="M560" s="66" t="str">
        <f aca="false">IF(OR($D560="",$F560=""),"",IF(COUNTIFS($D$7:$D560,$D560,$F$7:$F560,$F560)=1,1,0))</f>
        <v/>
      </c>
    </row>
    <row r="561" customFormat="false" ht="15" hidden="false" customHeight="true" outlineLevel="0" collapsed="false">
      <c r="A561" s="38"/>
      <c r="B561" s="38"/>
      <c r="C561" s="38"/>
      <c r="D561" s="38"/>
      <c r="E561" s="13"/>
      <c r="F561" s="13"/>
      <c r="G561" s="67"/>
      <c r="H561" s="67"/>
      <c r="I561" s="67"/>
      <c r="J561" s="67"/>
      <c r="K561" s="38"/>
      <c r="L561" s="38"/>
      <c r="M561" s="66" t="str">
        <f aca="false">IF(OR($D561="",$F561=""),"",IF(COUNTIFS($D$7:$D561,$D561,$F$7:$F561,$F561)=1,1,0))</f>
        <v/>
      </c>
    </row>
    <row r="562" customFormat="false" ht="15" hidden="false" customHeight="true" outlineLevel="0" collapsed="false">
      <c r="A562" s="56"/>
      <c r="B562" s="56"/>
      <c r="C562" s="56"/>
      <c r="D562" s="56"/>
      <c r="E562" s="16"/>
      <c r="F562" s="16"/>
      <c r="G562" s="67"/>
      <c r="H562" s="67"/>
      <c r="I562" s="67"/>
      <c r="J562" s="67"/>
      <c r="K562" s="56"/>
      <c r="L562" s="56"/>
      <c r="M562" s="66" t="str">
        <f aca="false">IF(OR($D562="",$F562=""),"",IF(COUNTIFS($D$7:$D562,$D562,$F$7:$F562,$F562)=1,1,0))</f>
        <v/>
      </c>
    </row>
    <row r="563" customFormat="false" ht="15" hidden="false" customHeight="true" outlineLevel="0" collapsed="false">
      <c r="A563" s="38"/>
      <c r="B563" s="38"/>
      <c r="C563" s="38"/>
      <c r="D563" s="38"/>
      <c r="E563" s="13"/>
      <c r="F563" s="13"/>
      <c r="G563" s="67"/>
      <c r="H563" s="67"/>
      <c r="I563" s="67"/>
      <c r="J563" s="67"/>
      <c r="K563" s="38"/>
      <c r="L563" s="38"/>
      <c r="M563" s="66" t="str">
        <f aca="false">IF(OR($D563="",$F563=""),"",IF(COUNTIFS($D$7:$D563,$D563,$F$7:$F563,$F563)=1,1,0))</f>
        <v/>
      </c>
    </row>
    <row r="564" customFormat="false" ht="15" hidden="false" customHeight="true" outlineLevel="0" collapsed="false">
      <c r="A564" s="56"/>
      <c r="B564" s="56"/>
      <c r="C564" s="56"/>
      <c r="D564" s="56"/>
      <c r="E564" s="16"/>
      <c r="F564" s="16"/>
      <c r="G564" s="67"/>
      <c r="H564" s="67"/>
      <c r="I564" s="67"/>
      <c r="J564" s="67"/>
      <c r="K564" s="56"/>
      <c r="L564" s="56"/>
      <c r="M564" s="66" t="str">
        <f aca="false">IF(OR($D564="",$F564=""),"",IF(COUNTIFS($D$7:$D564,$D564,$F$7:$F564,$F564)=1,1,0))</f>
        <v/>
      </c>
    </row>
    <row r="565" customFormat="false" ht="15" hidden="false" customHeight="true" outlineLevel="0" collapsed="false">
      <c r="A565" s="38"/>
      <c r="B565" s="38"/>
      <c r="C565" s="38"/>
      <c r="D565" s="38"/>
      <c r="E565" s="13"/>
      <c r="F565" s="13"/>
      <c r="G565" s="67"/>
      <c r="H565" s="67"/>
      <c r="I565" s="67"/>
      <c r="J565" s="67"/>
      <c r="K565" s="38"/>
      <c r="L565" s="38"/>
      <c r="M565" s="66" t="str">
        <f aca="false">IF(OR($D565="",$F565=""),"",IF(COUNTIFS($D$7:$D565,$D565,$F$7:$F565,$F565)=1,1,0))</f>
        <v/>
      </c>
    </row>
    <row r="566" customFormat="false" ht="15" hidden="false" customHeight="true" outlineLevel="0" collapsed="false">
      <c r="A566" s="56"/>
      <c r="B566" s="56"/>
      <c r="C566" s="56"/>
      <c r="D566" s="56"/>
      <c r="E566" s="16"/>
      <c r="F566" s="16"/>
      <c r="G566" s="67"/>
      <c r="H566" s="67"/>
      <c r="I566" s="67"/>
      <c r="J566" s="67"/>
      <c r="K566" s="56"/>
      <c r="L566" s="56"/>
      <c r="M566" s="66" t="str">
        <f aca="false">IF(OR($D566="",$F566=""),"",IF(COUNTIFS($D$7:$D566,$D566,$F$7:$F566,$F566)=1,1,0))</f>
        <v/>
      </c>
    </row>
    <row r="567" customFormat="false" ht="15" hidden="false" customHeight="true" outlineLevel="0" collapsed="false">
      <c r="A567" s="38"/>
      <c r="B567" s="38"/>
      <c r="C567" s="38"/>
      <c r="D567" s="38"/>
      <c r="E567" s="13"/>
      <c r="F567" s="13"/>
      <c r="G567" s="67"/>
      <c r="H567" s="67"/>
      <c r="I567" s="67"/>
      <c r="J567" s="67"/>
      <c r="K567" s="38"/>
      <c r="L567" s="38"/>
      <c r="M567" s="66" t="str">
        <f aca="false">IF(OR($D567="",$F567=""),"",IF(COUNTIFS($D$7:$D567,$D567,$F$7:$F567,$F567)=1,1,0))</f>
        <v/>
      </c>
    </row>
    <row r="568" customFormat="false" ht="15" hidden="false" customHeight="true" outlineLevel="0" collapsed="false">
      <c r="A568" s="56"/>
      <c r="B568" s="56"/>
      <c r="C568" s="56"/>
      <c r="D568" s="56"/>
      <c r="E568" s="16"/>
      <c r="F568" s="16"/>
      <c r="G568" s="67"/>
      <c r="H568" s="67"/>
      <c r="I568" s="67"/>
      <c r="J568" s="67"/>
      <c r="K568" s="56"/>
      <c r="L568" s="56"/>
      <c r="M568" s="66" t="str">
        <f aca="false">IF(OR($D568="",$F568=""),"",IF(COUNTIFS($D$7:$D568,$D568,$F$7:$F568,$F568)=1,1,0))</f>
        <v/>
      </c>
    </row>
    <row r="569" customFormat="false" ht="15" hidden="false" customHeight="true" outlineLevel="0" collapsed="false">
      <c r="A569" s="38"/>
      <c r="B569" s="38"/>
      <c r="C569" s="38"/>
      <c r="D569" s="38"/>
      <c r="E569" s="13"/>
      <c r="F569" s="13"/>
      <c r="G569" s="67"/>
      <c r="H569" s="67"/>
      <c r="I569" s="67"/>
      <c r="J569" s="67"/>
      <c r="K569" s="38"/>
      <c r="L569" s="38"/>
      <c r="M569" s="66" t="str">
        <f aca="false">IF(OR($D569="",$F569=""),"",IF(COUNTIFS($D$7:$D569,$D569,$F$7:$F569,$F569)=1,1,0))</f>
        <v/>
      </c>
    </row>
    <row r="570" customFormat="false" ht="15" hidden="false" customHeight="true" outlineLevel="0" collapsed="false">
      <c r="A570" s="56"/>
      <c r="B570" s="56"/>
      <c r="C570" s="56"/>
      <c r="D570" s="56"/>
      <c r="E570" s="16"/>
      <c r="F570" s="16"/>
      <c r="G570" s="67"/>
      <c r="H570" s="67"/>
      <c r="I570" s="67"/>
      <c r="J570" s="67"/>
      <c r="K570" s="56"/>
      <c r="L570" s="56"/>
      <c r="M570" s="66" t="str">
        <f aca="false">IF(OR($D570="",$F570=""),"",IF(COUNTIFS($D$7:$D570,$D570,$F$7:$F570,$F570)=1,1,0))</f>
        <v/>
      </c>
    </row>
    <row r="571" customFormat="false" ht="15" hidden="false" customHeight="true" outlineLevel="0" collapsed="false">
      <c r="A571" s="38"/>
      <c r="B571" s="38"/>
      <c r="C571" s="38"/>
      <c r="D571" s="38"/>
      <c r="E571" s="13"/>
      <c r="F571" s="13"/>
      <c r="G571" s="67"/>
      <c r="H571" s="67"/>
      <c r="I571" s="67"/>
      <c r="J571" s="67"/>
      <c r="K571" s="38"/>
      <c r="L571" s="38"/>
      <c r="M571" s="66" t="str">
        <f aca="false">IF(OR($D571="",$F571=""),"",IF(COUNTIFS($D$7:$D571,$D571,$F$7:$F571,$F571)=1,1,0))</f>
        <v/>
      </c>
    </row>
    <row r="572" customFormat="false" ht="15" hidden="false" customHeight="true" outlineLevel="0" collapsed="false">
      <c r="A572" s="56"/>
      <c r="B572" s="56"/>
      <c r="C572" s="56"/>
      <c r="D572" s="56"/>
      <c r="E572" s="16"/>
      <c r="F572" s="16"/>
      <c r="G572" s="67"/>
      <c r="H572" s="67"/>
      <c r="I572" s="67"/>
      <c r="J572" s="67"/>
      <c r="K572" s="56"/>
      <c r="L572" s="56"/>
      <c r="M572" s="66" t="str">
        <f aca="false">IF(OR($D572="",$F572=""),"",IF(COUNTIFS($D$7:$D572,$D572,$F$7:$F572,$F572)=1,1,0))</f>
        <v/>
      </c>
    </row>
    <row r="573" customFormat="false" ht="15" hidden="false" customHeight="true" outlineLevel="0" collapsed="false">
      <c r="A573" s="38"/>
      <c r="B573" s="38"/>
      <c r="C573" s="38"/>
      <c r="D573" s="38"/>
      <c r="E573" s="13"/>
      <c r="F573" s="13"/>
      <c r="G573" s="67"/>
      <c r="H573" s="67"/>
      <c r="I573" s="67"/>
      <c r="J573" s="67"/>
      <c r="K573" s="38"/>
      <c r="L573" s="38"/>
      <c r="M573" s="66" t="str">
        <f aca="false">IF(OR($D573="",$F573=""),"",IF(COUNTIFS($D$7:$D573,$D573,$F$7:$F573,$F573)=1,1,0))</f>
        <v/>
      </c>
    </row>
    <row r="574" customFormat="false" ht="15" hidden="false" customHeight="true" outlineLevel="0" collapsed="false">
      <c r="A574" s="56"/>
      <c r="B574" s="56"/>
      <c r="C574" s="56"/>
      <c r="D574" s="56"/>
      <c r="E574" s="16"/>
      <c r="F574" s="16"/>
      <c r="G574" s="67"/>
      <c r="H574" s="67"/>
      <c r="I574" s="67"/>
      <c r="J574" s="67"/>
      <c r="K574" s="56"/>
      <c r="L574" s="56"/>
      <c r="M574" s="66" t="str">
        <f aca="false">IF(OR($D574="",$F574=""),"",IF(COUNTIFS($D$7:$D574,$D574,$F$7:$F574,$F574)=1,1,0))</f>
        <v/>
      </c>
    </row>
    <row r="575" customFormat="false" ht="15" hidden="false" customHeight="true" outlineLevel="0" collapsed="false">
      <c r="A575" s="38"/>
      <c r="B575" s="38"/>
      <c r="C575" s="38"/>
      <c r="D575" s="38"/>
      <c r="E575" s="13"/>
      <c r="F575" s="13"/>
      <c r="G575" s="67"/>
      <c r="H575" s="67"/>
      <c r="I575" s="67"/>
      <c r="J575" s="67"/>
      <c r="K575" s="38"/>
      <c r="L575" s="38"/>
      <c r="M575" s="66" t="str">
        <f aca="false">IF(OR($D575="",$F575=""),"",IF(COUNTIFS($D$7:$D575,$D575,$F$7:$F575,$F575)=1,1,0))</f>
        <v/>
      </c>
    </row>
    <row r="576" customFormat="false" ht="15" hidden="false" customHeight="true" outlineLevel="0" collapsed="false">
      <c r="A576" s="56"/>
      <c r="B576" s="56"/>
      <c r="C576" s="56"/>
      <c r="D576" s="56"/>
      <c r="E576" s="16"/>
      <c r="F576" s="16"/>
      <c r="G576" s="67"/>
      <c r="H576" s="67"/>
      <c r="I576" s="67"/>
      <c r="J576" s="67"/>
      <c r="K576" s="56"/>
      <c r="L576" s="56"/>
      <c r="M576" s="66" t="str">
        <f aca="false">IF(OR($D576="",$F576=""),"",IF(COUNTIFS($D$7:$D576,$D576,$F$7:$F576,$F576)=1,1,0))</f>
        <v/>
      </c>
    </row>
    <row r="577" customFormat="false" ht="15" hidden="false" customHeight="true" outlineLevel="0" collapsed="false">
      <c r="A577" s="38"/>
      <c r="B577" s="38"/>
      <c r="C577" s="38"/>
      <c r="D577" s="38"/>
      <c r="E577" s="13"/>
      <c r="F577" s="13"/>
      <c r="G577" s="67"/>
      <c r="H577" s="67"/>
      <c r="I577" s="67"/>
      <c r="J577" s="67"/>
      <c r="K577" s="38"/>
      <c r="L577" s="38"/>
      <c r="M577" s="66" t="str">
        <f aca="false">IF(OR($D577="",$F577=""),"",IF(COUNTIFS($D$7:$D577,$D577,$F$7:$F577,$F577)=1,1,0))</f>
        <v/>
      </c>
    </row>
    <row r="578" customFormat="false" ht="15" hidden="false" customHeight="true" outlineLevel="0" collapsed="false">
      <c r="A578" s="56"/>
      <c r="B578" s="56"/>
      <c r="C578" s="56"/>
      <c r="D578" s="56"/>
      <c r="E578" s="16"/>
      <c r="F578" s="16"/>
      <c r="G578" s="67"/>
      <c r="H578" s="67"/>
      <c r="I578" s="67"/>
      <c r="J578" s="67"/>
      <c r="K578" s="56"/>
      <c r="L578" s="56"/>
      <c r="M578" s="66" t="str">
        <f aca="false">IF(OR($D578="",$F578=""),"",IF(COUNTIFS($D$7:$D578,$D578,$F$7:$F578,$F578)=1,1,0))</f>
        <v/>
      </c>
    </row>
    <row r="579" customFormat="false" ht="15" hidden="false" customHeight="true" outlineLevel="0" collapsed="false">
      <c r="A579" s="38"/>
      <c r="B579" s="38"/>
      <c r="C579" s="38"/>
      <c r="D579" s="38"/>
      <c r="E579" s="13"/>
      <c r="F579" s="13"/>
      <c r="G579" s="67"/>
      <c r="H579" s="67"/>
      <c r="I579" s="67"/>
      <c r="J579" s="67"/>
      <c r="K579" s="38"/>
      <c r="L579" s="38"/>
      <c r="M579" s="66" t="str">
        <f aca="false">IF(OR($D579="",$F579=""),"",IF(COUNTIFS($D$7:$D579,$D579,$F$7:$F579,$F579)=1,1,0))</f>
        <v/>
      </c>
    </row>
    <row r="580" customFormat="false" ht="15" hidden="false" customHeight="true" outlineLevel="0" collapsed="false">
      <c r="A580" s="56"/>
      <c r="B580" s="56"/>
      <c r="C580" s="56"/>
      <c r="D580" s="56"/>
      <c r="E580" s="16"/>
      <c r="F580" s="16"/>
      <c r="G580" s="67"/>
      <c r="H580" s="67"/>
      <c r="I580" s="67"/>
      <c r="J580" s="67"/>
      <c r="K580" s="56"/>
      <c r="L580" s="56"/>
      <c r="M580" s="66" t="str">
        <f aca="false">IF(OR($D580="",$F580=""),"",IF(COUNTIFS($D$7:$D580,$D580,$F$7:$F580,$F580)=1,1,0))</f>
        <v/>
      </c>
    </row>
    <row r="581" customFormat="false" ht="15" hidden="false" customHeight="true" outlineLevel="0" collapsed="false">
      <c r="A581" s="38"/>
      <c r="B581" s="38"/>
      <c r="C581" s="38"/>
      <c r="D581" s="38"/>
      <c r="E581" s="13"/>
      <c r="F581" s="13"/>
      <c r="G581" s="67"/>
      <c r="H581" s="67"/>
      <c r="I581" s="67"/>
      <c r="J581" s="67"/>
      <c r="K581" s="38"/>
      <c r="L581" s="38"/>
      <c r="M581" s="66" t="str">
        <f aca="false">IF(OR($D581="",$F581=""),"",IF(COUNTIFS($D$7:$D581,$D581,$F$7:$F581,$F581)=1,1,0))</f>
        <v/>
      </c>
    </row>
    <row r="582" customFormat="false" ht="15" hidden="false" customHeight="true" outlineLevel="0" collapsed="false">
      <c r="A582" s="56"/>
      <c r="B582" s="56"/>
      <c r="C582" s="56"/>
      <c r="D582" s="56"/>
      <c r="E582" s="16"/>
      <c r="F582" s="16"/>
      <c r="G582" s="67"/>
      <c r="H582" s="67"/>
      <c r="I582" s="67"/>
      <c r="J582" s="67"/>
      <c r="K582" s="56"/>
      <c r="L582" s="56"/>
      <c r="M582" s="66" t="str">
        <f aca="false">IF(OR($D582="",$F582=""),"",IF(COUNTIFS($D$7:$D582,$D582,$F$7:$F582,$F582)=1,1,0))</f>
        <v/>
      </c>
    </row>
    <row r="583" customFormat="false" ht="15" hidden="false" customHeight="true" outlineLevel="0" collapsed="false">
      <c r="A583" s="38"/>
      <c r="B583" s="38"/>
      <c r="C583" s="38"/>
      <c r="D583" s="38"/>
      <c r="E583" s="13"/>
      <c r="F583" s="13"/>
      <c r="G583" s="67"/>
      <c r="H583" s="67"/>
      <c r="I583" s="67"/>
      <c r="J583" s="67"/>
      <c r="K583" s="38"/>
      <c r="L583" s="38"/>
      <c r="M583" s="66" t="str">
        <f aca="false">IF(OR($D583="",$F583=""),"",IF(COUNTIFS($D$7:$D583,$D583,$F$7:$F583,$F583)=1,1,0))</f>
        <v/>
      </c>
    </row>
    <row r="584" customFormat="false" ht="15" hidden="false" customHeight="true" outlineLevel="0" collapsed="false">
      <c r="A584" s="56"/>
      <c r="B584" s="56"/>
      <c r="C584" s="56"/>
      <c r="D584" s="56"/>
      <c r="E584" s="16"/>
      <c r="F584" s="16"/>
      <c r="G584" s="67"/>
      <c r="H584" s="67"/>
      <c r="I584" s="67"/>
      <c r="J584" s="67"/>
      <c r="K584" s="56"/>
      <c r="L584" s="56"/>
      <c r="M584" s="66" t="str">
        <f aca="false">IF(OR($D584="",$F584=""),"",IF(COUNTIFS($D$7:$D584,$D584,$F$7:$F584,$F584)=1,1,0))</f>
        <v/>
      </c>
    </row>
    <row r="585" customFormat="false" ht="15" hidden="false" customHeight="true" outlineLevel="0" collapsed="false">
      <c r="A585" s="38"/>
      <c r="B585" s="38"/>
      <c r="C585" s="38"/>
      <c r="D585" s="38"/>
      <c r="E585" s="13"/>
      <c r="F585" s="13"/>
      <c r="G585" s="67"/>
      <c r="H585" s="67"/>
      <c r="I585" s="67"/>
      <c r="J585" s="67"/>
      <c r="K585" s="38"/>
      <c r="L585" s="38"/>
      <c r="M585" s="66" t="str">
        <f aca="false">IF(OR($D585="",$F585=""),"",IF(COUNTIFS($D$7:$D585,$D585,$F$7:$F585,$F585)=1,1,0))</f>
        <v/>
      </c>
    </row>
    <row r="586" customFormat="false" ht="15" hidden="false" customHeight="true" outlineLevel="0" collapsed="false">
      <c r="A586" s="56"/>
      <c r="B586" s="56"/>
      <c r="C586" s="56"/>
      <c r="D586" s="56"/>
      <c r="E586" s="16"/>
      <c r="F586" s="16"/>
      <c r="G586" s="67"/>
      <c r="H586" s="67"/>
      <c r="I586" s="67"/>
      <c r="J586" s="67"/>
      <c r="K586" s="56"/>
      <c r="L586" s="56"/>
      <c r="M586" s="66" t="str">
        <f aca="false">IF(OR($D586="",$F586=""),"",IF(COUNTIFS($D$7:$D586,$D586,$F$7:$F586,$F586)=1,1,0))</f>
        <v/>
      </c>
    </row>
    <row r="587" customFormat="false" ht="15" hidden="false" customHeight="true" outlineLevel="0" collapsed="false">
      <c r="A587" s="38"/>
      <c r="B587" s="38"/>
      <c r="C587" s="38"/>
      <c r="D587" s="38"/>
      <c r="E587" s="13"/>
      <c r="F587" s="13"/>
      <c r="G587" s="67"/>
      <c r="H587" s="67"/>
      <c r="I587" s="67"/>
      <c r="J587" s="67"/>
      <c r="K587" s="38"/>
      <c r="L587" s="38"/>
      <c r="M587" s="66" t="str">
        <f aca="false">IF(OR($D587="",$F587=""),"",IF(COUNTIFS($D$7:$D587,$D587,$F$7:$F587,$F587)=1,1,0))</f>
        <v/>
      </c>
    </row>
    <row r="588" customFormat="false" ht="15" hidden="false" customHeight="true" outlineLevel="0" collapsed="false">
      <c r="A588" s="56"/>
      <c r="B588" s="56"/>
      <c r="C588" s="56"/>
      <c r="D588" s="56"/>
      <c r="E588" s="16"/>
      <c r="F588" s="16"/>
      <c r="G588" s="67"/>
      <c r="H588" s="67"/>
      <c r="I588" s="67"/>
      <c r="J588" s="67"/>
      <c r="K588" s="56"/>
      <c r="L588" s="56"/>
      <c r="M588" s="66" t="str">
        <f aca="false">IF(OR($D588="",$F588=""),"",IF(COUNTIFS($D$7:$D588,$D588,$F$7:$F588,$F588)=1,1,0))</f>
        <v/>
      </c>
    </row>
    <row r="589" customFormat="false" ht="15" hidden="false" customHeight="true" outlineLevel="0" collapsed="false">
      <c r="A589" s="38"/>
      <c r="B589" s="38"/>
      <c r="C589" s="38"/>
      <c r="D589" s="38"/>
      <c r="E589" s="13"/>
      <c r="F589" s="13"/>
      <c r="G589" s="67"/>
      <c r="H589" s="67"/>
      <c r="I589" s="67"/>
      <c r="J589" s="67"/>
      <c r="K589" s="38"/>
      <c r="L589" s="38"/>
      <c r="M589" s="66" t="str">
        <f aca="false">IF(OR($D589="",$F589=""),"",IF(COUNTIFS($D$7:$D589,$D589,$F$7:$F589,$F589)=1,1,0))</f>
        <v/>
      </c>
    </row>
    <row r="590" customFormat="false" ht="15" hidden="false" customHeight="true" outlineLevel="0" collapsed="false">
      <c r="A590" s="56"/>
      <c r="B590" s="56"/>
      <c r="C590" s="56"/>
      <c r="D590" s="56"/>
      <c r="E590" s="16"/>
      <c r="F590" s="16"/>
      <c r="G590" s="67"/>
      <c r="H590" s="67"/>
      <c r="I590" s="67"/>
      <c r="J590" s="67"/>
      <c r="K590" s="56"/>
      <c r="L590" s="56"/>
      <c r="M590" s="66" t="str">
        <f aca="false">IF(OR($D590="",$F590=""),"",IF(COUNTIFS($D$7:$D590,$D590,$F$7:$F590,$F590)=1,1,0))</f>
        <v/>
      </c>
    </row>
    <row r="591" customFormat="false" ht="15" hidden="false" customHeight="true" outlineLevel="0" collapsed="false">
      <c r="A591" s="38"/>
      <c r="B591" s="38"/>
      <c r="C591" s="38"/>
      <c r="D591" s="38"/>
      <c r="E591" s="13"/>
      <c r="F591" s="13"/>
      <c r="G591" s="67"/>
      <c r="H591" s="67"/>
      <c r="I591" s="67"/>
      <c r="J591" s="67"/>
      <c r="K591" s="38"/>
      <c r="L591" s="38"/>
      <c r="M591" s="66" t="str">
        <f aca="false">IF(OR($D591="",$F591=""),"",IF(COUNTIFS($D$7:$D591,$D591,$F$7:$F591,$F591)=1,1,0))</f>
        <v/>
      </c>
    </row>
    <row r="592" customFormat="false" ht="15" hidden="false" customHeight="true" outlineLevel="0" collapsed="false">
      <c r="A592" s="56"/>
      <c r="B592" s="56"/>
      <c r="C592" s="56"/>
      <c r="D592" s="56"/>
      <c r="E592" s="16"/>
      <c r="F592" s="16"/>
      <c r="G592" s="67"/>
      <c r="H592" s="67"/>
      <c r="I592" s="67"/>
      <c r="J592" s="67"/>
      <c r="K592" s="56"/>
      <c r="L592" s="56"/>
      <c r="M592" s="66" t="str">
        <f aca="false">IF(OR($D592="",$F592=""),"",IF(COUNTIFS($D$7:$D592,$D592,$F$7:$F592,$F592)=1,1,0))</f>
        <v/>
      </c>
    </row>
    <row r="593" customFormat="false" ht="15" hidden="false" customHeight="true" outlineLevel="0" collapsed="false">
      <c r="A593" s="38"/>
      <c r="B593" s="38"/>
      <c r="C593" s="38"/>
      <c r="D593" s="38"/>
      <c r="E593" s="13"/>
      <c r="F593" s="13"/>
      <c r="G593" s="67"/>
      <c r="H593" s="67"/>
      <c r="I593" s="67"/>
      <c r="J593" s="67"/>
      <c r="K593" s="38"/>
      <c r="L593" s="38"/>
      <c r="M593" s="66" t="str">
        <f aca="false">IF(OR($D593="",$F593=""),"",IF(COUNTIFS($D$7:$D593,$D593,$F$7:$F593,$F593)=1,1,0))</f>
        <v/>
      </c>
    </row>
    <row r="594" customFormat="false" ht="15" hidden="false" customHeight="true" outlineLevel="0" collapsed="false">
      <c r="A594" s="56"/>
      <c r="B594" s="56"/>
      <c r="C594" s="56"/>
      <c r="D594" s="56"/>
      <c r="E594" s="16"/>
      <c r="F594" s="16"/>
      <c r="G594" s="67"/>
      <c r="H594" s="67"/>
      <c r="I594" s="67"/>
      <c r="J594" s="67"/>
      <c r="K594" s="56"/>
      <c r="L594" s="56"/>
      <c r="M594" s="66" t="str">
        <f aca="false">IF(OR($D594="",$F594=""),"",IF(COUNTIFS($D$7:$D594,$D594,$F$7:$F594,$F594)=1,1,0))</f>
        <v/>
      </c>
    </row>
    <row r="595" customFormat="false" ht="15" hidden="false" customHeight="true" outlineLevel="0" collapsed="false">
      <c r="A595" s="38"/>
      <c r="B595" s="38"/>
      <c r="C595" s="38"/>
      <c r="D595" s="38"/>
      <c r="E595" s="13"/>
      <c r="F595" s="13"/>
      <c r="G595" s="67"/>
      <c r="H595" s="67"/>
      <c r="I595" s="67"/>
      <c r="J595" s="67"/>
      <c r="K595" s="38"/>
      <c r="L595" s="38"/>
      <c r="M595" s="66" t="str">
        <f aca="false">IF(OR($D595="",$F595=""),"",IF(COUNTIFS($D$7:$D595,$D595,$F$7:$F595,$F595)=1,1,0))</f>
        <v/>
      </c>
    </row>
    <row r="596" customFormat="false" ht="15" hidden="false" customHeight="true" outlineLevel="0" collapsed="false">
      <c r="A596" s="56"/>
      <c r="B596" s="56"/>
      <c r="C596" s="56"/>
      <c r="D596" s="56"/>
      <c r="E596" s="16"/>
      <c r="F596" s="16"/>
      <c r="G596" s="67"/>
      <c r="H596" s="67"/>
      <c r="I596" s="67"/>
      <c r="J596" s="67"/>
      <c r="K596" s="56"/>
      <c r="L596" s="56"/>
      <c r="M596" s="66" t="str">
        <f aca="false">IF(OR($D596="",$F596=""),"",IF(COUNTIFS($D$7:$D596,$D596,$F$7:$F596,$F596)=1,1,0))</f>
        <v/>
      </c>
    </row>
    <row r="597" customFormat="false" ht="15" hidden="false" customHeight="true" outlineLevel="0" collapsed="false">
      <c r="A597" s="38"/>
      <c r="B597" s="38"/>
      <c r="C597" s="38"/>
      <c r="D597" s="38"/>
      <c r="E597" s="13"/>
      <c r="F597" s="13"/>
      <c r="G597" s="67"/>
      <c r="H597" s="67"/>
      <c r="I597" s="67"/>
      <c r="J597" s="67"/>
      <c r="K597" s="38"/>
      <c r="L597" s="38"/>
      <c r="M597" s="66" t="str">
        <f aca="false">IF(OR($D597="",$F597=""),"",IF(COUNTIFS($D$7:$D597,$D597,$F$7:$F597,$F597)=1,1,0))</f>
        <v/>
      </c>
    </row>
    <row r="598" customFormat="false" ht="15" hidden="false" customHeight="true" outlineLevel="0" collapsed="false">
      <c r="A598" s="56"/>
      <c r="B598" s="56"/>
      <c r="C598" s="56"/>
      <c r="D598" s="56"/>
      <c r="E598" s="16"/>
      <c r="F598" s="16"/>
      <c r="G598" s="67"/>
      <c r="H598" s="67"/>
      <c r="I598" s="67"/>
      <c r="J598" s="67"/>
      <c r="K598" s="56"/>
      <c r="L598" s="56"/>
      <c r="M598" s="66" t="str">
        <f aca="false">IF(OR($D598="",$F598=""),"",IF(COUNTIFS($D$7:$D598,$D598,$F$7:$F598,$F598)=1,1,0))</f>
        <v/>
      </c>
    </row>
    <row r="599" customFormat="false" ht="15" hidden="false" customHeight="true" outlineLevel="0" collapsed="false">
      <c r="A599" s="38"/>
      <c r="B599" s="38"/>
      <c r="C599" s="38"/>
      <c r="D599" s="38"/>
      <c r="E599" s="13"/>
      <c r="F599" s="13"/>
      <c r="G599" s="67"/>
      <c r="H599" s="67"/>
      <c r="I599" s="67"/>
      <c r="J599" s="67"/>
      <c r="K599" s="38"/>
      <c r="L599" s="38"/>
      <c r="M599" s="66" t="str">
        <f aca="false">IF(OR($D599="",$F599=""),"",IF(COUNTIFS($D$7:$D599,$D599,$F$7:$F599,$F599)=1,1,0))</f>
        <v/>
      </c>
    </row>
    <row r="600" customFormat="false" ht="15" hidden="false" customHeight="true" outlineLevel="0" collapsed="false">
      <c r="A600" s="56"/>
      <c r="B600" s="56"/>
      <c r="C600" s="56"/>
      <c r="D600" s="56"/>
      <c r="E600" s="16"/>
      <c r="F600" s="16"/>
      <c r="G600" s="67"/>
      <c r="H600" s="67"/>
      <c r="I600" s="67"/>
      <c r="J600" s="67"/>
      <c r="K600" s="56"/>
      <c r="L600" s="56"/>
      <c r="M600" s="66" t="str">
        <f aca="false">IF(OR($D600="",$F600=""),"",IF(COUNTIFS($D$7:$D600,$D600,$F$7:$F600,$F600)=1,1,0))</f>
        <v/>
      </c>
    </row>
    <row r="601" customFormat="false" ht="15" hidden="false" customHeight="true" outlineLevel="0" collapsed="false">
      <c r="A601" s="38"/>
      <c r="B601" s="38"/>
      <c r="C601" s="38"/>
      <c r="D601" s="38"/>
      <c r="E601" s="13"/>
      <c r="F601" s="13"/>
      <c r="G601" s="67"/>
      <c r="H601" s="67"/>
      <c r="I601" s="67"/>
      <c r="J601" s="67"/>
      <c r="K601" s="38"/>
      <c r="L601" s="38"/>
      <c r="M601" s="66" t="str">
        <f aca="false">IF(OR($D601="",$F601=""),"",IF(COUNTIFS($D$7:$D601,$D601,$F$7:$F601,$F601)=1,1,0))</f>
        <v/>
      </c>
    </row>
    <row r="602" customFormat="false" ht="15" hidden="false" customHeight="true" outlineLevel="0" collapsed="false">
      <c r="A602" s="56"/>
      <c r="B602" s="56"/>
      <c r="C602" s="56"/>
      <c r="D602" s="56"/>
      <c r="E602" s="16"/>
      <c r="F602" s="16"/>
      <c r="G602" s="67"/>
      <c r="H602" s="67"/>
      <c r="I602" s="67"/>
      <c r="J602" s="67"/>
      <c r="K602" s="56"/>
      <c r="L602" s="56"/>
      <c r="M602" s="66" t="str">
        <f aca="false">IF(OR($D602="",$F602=""),"",IF(COUNTIFS($D$7:$D602,$D602,$F$7:$F602,$F602)=1,1,0))</f>
        <v/>
      </c>
    </row>
    <row r="603" customFormat="false" ht="15" hidden="false" customHeight="true" outlineLevel="0" collapsed="false">
      <c r="A603" s="38"/>
      <c r="B603" s="38"/>
      <c r="C603" s="38"/>
      <c r="D603" s="38"/>
      <c r="E603" s="13"/>
      <c r="F603" s="13"/>
      <c r="G603" s="67"/>
      <c r="H603" s="67"/>
      <c r="I603" s="67"/>
      <c r="J603" s="67"/>
      <c r="K603" s="38"/>
      <c r="L603" s="38"/>
      <c r="M603" s="66" t="str">
        <f aca="false">IF(OR($D603="",$F603=""),"",IF(COUNTIFS($D$7:$D603,$D603,$F$7:$F603,$F603)=1,1,0))</f>
        <v/>
      </c>
    </row>
    <row r="604" customFormat="false" ht="15" hidden="false" customHeight="true" outlineLevel="0" collapsed="false">
      <c r="A604" s="56"/>
      <c r="B604" s="56"/>
      <c r="C604" s="56"/>
      <c r="D604" s="56"/>
      <c r="E604" s="16"/>
      <c r="F604" s="16"/>
      <c r="G604" s="67"/>
      <c r="H604" s="67"/>
      <c r="I604" s="67"/>
      <c r="J604" s="67"/>
      <c r="K604" s="56"/>
      <c r="L604" s="56"/>
      <c r="M604" s="66" t="str">
        <f aca="false">IF(OR($D604="",$F604=""),"",IF(COUNTIFS($D$7:$D604,$D604,$F$7:$F604,$F604)=1,1,0))</f>
        <v/>
      </c>
    </row>
    <row r="605" customFormat="false" ht="15" hidden="false" customHeight="true" outlineLevel="0" collapsed="false">
      <c r="A605" s="38"/>
      <c r="B605" s="38"/>
      <c r="C605" s="38"/>
      <c r="D605" s="38"/>
      <c r="E605" s="13"/>
      <c r="F605" s="13"/>
      <c r="G605" s="67"/>
      <c r="H605" s="67"/>
      <c r="I605" s="67"/>
      <c r="J605" s="67"/>
      <c r="K605" s="38"/>
      <c r="L605" s="38"/>
      <c r="M605" s="66" t="str">
        <f aca="false">IF(OR($D605="",$F605=""),"",IF(COUNTIFS($D$7:$D605,$D605,$F$7:$F605,$F605)=1,1,0))</f>
        <v/>
      </c>
    </row>
    <row r="606" customFormat="false" ht="15" hidden="false" customHeight="true" outlineLevel="0" collapsed="false">
      <c r="A606" s="56"/>
      <c r="B606" s="56"/>
      <c r="C606" s="56"/>
      <c r="D606" s="56"/>
      <c r="E606" s="16"/>
      <c r="F606" s="16"/>
      <c r="G606" s="67"/>
      <c r="H606" s="67"/>
      <c r="I606" s="67"/>
      <c r="J606" s="67"/>
      <c r="K606" s="56"/>
      <c r="L606" s="56"/>
      <c r="M606" s="66" t="str">
        <f aca="false">IF(OR($D606="",$F606=""),"",IF(COUNTIFS($D$7:$D606,$D606,$F$7:$F606,$F606)=1,1,0))</f>
        <v/>
      </c>
    </row>
    <row r="607" customFormat="false" ht="15" hidden="false" customHeight="true" outlineLevel="0" collapsed="false">
      <c r="A607" s="38"/>
      <c r="B607" s="38"/>
      <c r="C607" s="38"/>
      <c r="D607" s="38"/>
      <c r="E607" s="13"/>
      <c r="F607" s="13"/>
      <c r="G607" s="67"/>
      <c r="H607" s="67"/>
      <c r="I607" s="67"/>
      <c r="J607" s="67"/>
      <c r="K607" s="38"/>
      <c r="L607" s="38"/>
      <c r="M607" s="66" t="str">
        <f aca="false">IF(OR($D607="",$F607=""),"",IF(COUNTIFS($D$7:$D607,$D607,$F$7:$F607,$F607)=1,1,0))</f>
        <v/>
      </c>
    </row>
    <row r="608" customFormat="false" ht="15" hidden="false" customHeight="true" outlineLevel="0" collapsed="false">
      <c r="A608" s="56"/>
      <c r="B608" s="56"/>
      <c r="C608" s="56"/>
      <c r="D608" s="56"/>
      <c r="E608" s="16"/>
      <c r="F608" s="16"/>
      <c r="G608" s="67"/>
      <c r="H608" s="67"/>
      <c r="I608" s="67"/>
      <c r="J608" s="67"/>
      <c r="K608" s="56"/>
      <c r="L608" s="56"/>
      <c r="M608" s="66" t="str">
        <f aca="false">IF(OR($D608="",$F608=""),"",IF(COUNTIFS($D$7:$D608,$D608,$F$7:$F608,$F608)=1,1,0))</f>
        <v/>
      </c>
    </row>
    <row r="609" customFormat="false" ht="15" hidden="false" customHeight="true" outlineLevel="0" collapsed="false">
      <c r="A609" s="38"/>
      <c r="B609" s="38"/>
      <c r="C609" s="38"/>
      <c r="D609" s="38"/>
      <c r="E609" s="13"/>
      <c r="F609" s="13"/>
      <c r="G609" s="67"/>
      <c r="H609" s="67"/>
      <c r="I609" s="67"/>
      <c r="J609" s="67"/>
      <c r="K609" s="38"/>
      <c r="L609" s="38"/>
      <c r="M609" s="66" t="str">
        <f aca="false">IF(OR($D609="",$F609=""),"",IF(COUNTIFS($D$7:$D609,$D609,$F$7:$F609,$F609)=1,1,0))</f>
        <v/>
      </c>
    </row>
    <row r="610" customFormat="false" ht="15" hidden="false" customHeight="true" outlineLevel="0" collapsed="false">
      <c r="A610" s="56"/>
      <c r="B610" s="56"/>
      <c r="C610" s="56"/>
      <c r="D610" s="56"/>
      <c r="E610" s="16"/>
      <c r="F610" s="16"/>
      <c r="G610" s="67"/>
      <c r="H610" s="67"/>
      <c r="I610" s="67"/>
      <c r="J610" s="67"/>
      <c r="K610" s="56"/>
      <c r="L610" s="56"/>
      <c r="M610" s="66" t="str">
        <f aca="false">IF(OR($D610="",$F610=""),"",IF(COUNTIFS($D$7:$D610,$D610,$F$7:$F610,$F610)=1,1,0))</f>
        <v/>
      </c>
    </row>
    <row r="611" customFormat="false" ht="15" hidden="false" customHeight="true" outlineLevel="0" collapsed="false">
      <c r="A611" s="38"/>
      <c r="B611" s="38"/>
      <c r="C611" s="38"/>
      <c r="D611" s="38"/>
      <c r="E611" s="13"/>
      <c r="F611" s="13"/>
      <c r="G611" s="67"/>
      <c r="H611" s="67"/>
      <c r="I611" s="67"/>
      <c r="J611" s="67"/>
      <c r="K611" s="38"/>
      <c r="L611" s="38"/>
      <c r="M611" s="66" t="str">
        <f aca="false">IF(OR($D611="",$F611=""),"",IF(COUNTIFS($D$7:$D611,$D611,$F$7:$F611,$F611)=1,1,0))</f>
        <v/>
      </c>
    </row>
    <row r="612" customFormat="false" ht="15" hidden="false" customHeight="true" outlineLevel="0" collapsed="false">
      <c r="A612" s="56"/>
      <c r="B612" s="56"/>
      <c r="C612" s="56"/>
      <c r="D612" s="56"/>
      <c r="E612" s="16"/>
      <c r="F612" s="16"/>
      <c r="G612" s="67"/>
      <c r="H612" s="67"/>
      <c r="I612" s="67"/>
      <c r="J612" s="67"/>
      <c r="K612" s="56"/>
      <c r="L612" s="56"/>
      <c r="M612" s="66" t="str">
        <f aca="false">IF(OR($D612="",$F612=""),"",IF(COUNTIFS($D$7:$D612,$D612,$F$7:$F612,$F612)=1,1,0))</f>
        <v/>
      </c>
    </row>
    <row r="613" customFormat="false" ht="15" hidden="false" customHeight="true" outlineLevel="0" collapsed="false">
      <c r="A613" s="38"/>
      <c r="B613" s="38"/>
      <c r="C613" s="38"/>
      <c r="D613" s="38"/>
      <c r="E613" s="13"/>
      <c r="F613" s="13"/>
      <c r="G613" s="67"/>
      <c r="H613" s="67"/>
      <c r="I613" s="67"/>
      <c r="J613" s="67"/>
      <c r="K613" s="38"/>
      <c r="L613" s="38"/>
      <c r="M613" s="66" t="str">
        <f aca="false">IF(OR($D613="",$F613=""),"",IF(COUNTIFS($D$7:$D613,$D613,$F$7:$F613,$F613)=1,1,0))</f>
        <v/>
      </c>
    </row>
    <row r="614" customFormat="false" ht="15" hidden="false" customHeight="true" outlineLevel="0" collapsed="false">
      <c r="A614" s="56"/>
      <c r="B614" s="56"/>
      <c r="C614" s="56"/>
      <c r="D614" s="56"/>
      <c r="E614" s="16"/>
      <c r="F614" s="16"/>
      <c r="G614" s="67"/>
      <c r="H614" s="67"/>
      <c r="I614" s="67"/>
      <c r="J614" s="67"/>
      <c r="K614" s="56"/>
      <c r="L614" s="56"/>
      <c r="M614" s="66" t="str">
        <f aca="false">IF(OR($D614="",$F614=""),"",IF(COUNTIFS($D$7:$D614,$D614,$F$7:$F614,$F614)=1,1,0))</f>
        <v/>
      </c>
    </row>
    <row r="615" customFormat="false" ht="15" hidden="false" customHeight="true" outlineLevel="0" collapsed="false">
      <c r="A615" s="38"/>
      <c r="B615" s="38"/>
      <c r="C615" s="38"/>
      <c r="D615" s="38"/>
      <c r="E615" s="13"/>
      <c r="F615" s="13"/>
      <c r="G615" s="67"/>
      <c r="H615" s="67"/>
      <c r="I615" s="67"/>
      <c r="J615" s="67"/>
      <c r="K615" s="38"/>
      <c r="L615" s="38"/>
      <c r="M615" s="66" t="str">
        <f aca="false">IF(OR($D615="",$F615=""),"",IF(COUNTIFS($D$7:$D615,$D615,$F$7:$F615,$F615)=1,1,0))</f>
        <v/>
      </c>
    </row>
    <row r="616" customFormat="false" ht="15" hidden="false" customHeight="true" outlineLevel="0" collapsed="false">
      <c r="A616" s="56"/>
      <c r="B616" s="56"/>
      <c r="C616" s="56"/>
      <c r="D616" s="56"/>
      <c r="E616" s="16"/>
      <c r="F616" s="16"/>
      <c r="G616" s="67"/>
      <c r="H616" s="67"/>
      <c r="I616" s="67"/>
      <c r="J616" s="67"/>
      <c r="K616" s="56"/>
      <c r="L616" s="56"/>
      <c r="M616" s="66" t="str">
        <f aca="false">IF(OR($D616="",$F616=""),"",IF(COUNTIFS($D$7:$D616,$D616,$F$7:$F616,$F616)=1,1,0))</f>
        <v/>
      </c>
    </row>
    <row r="617" customFormat="false" ht="15" hidden="false" customHeight="true" outlineLevel="0" collapsed="false">
      <c r="A617" s="38"/>
      <c r="B617" s="38"/>
      <c r="C617" s="38"/>
      <c r="D617" s="38"/>
      <c r="E617" s="13"/>
      <c r="F617" s="13"/>
      <c r="G617" s="67"/>
      <c r="H617" s="67"/>
      <c r="I617" s="67"/>
      <c r="J617" s="67"/>
      <c r="K617" s="38"/>
      <c r="L617" s="38"/>
      <c r="M617" s="66" t="str">
        <f aca="false">IF(OR($D617="",$F617=""),"",IF(COUNTIFS($D$7:$D617,$D617,$F$7:$F617,$F617)=1,1,0))</f>
        <v/>
      </c>
    </row>
    <row r="618" customFormat="false" ht="15" hidden="false" customHeight="true" outlineLevel="0" collapsed="false">
      <c r="A618" s="56"/>
      <c r="B618" s="56"/>
      <c r="C618" s="56"/>
      <c r="D618" s="56"/>
      <c r="E618" s="16"/>
      <c r="F618" s="16"/>
      <c r="G618" s="67"/>
      <c r="H618" s="67"/>
      <c r="I618" s="67"/>
      <c r="J618" s="67"/>
      <c r="K618" s="56"/>
      <c r="L618" s="56"/>
      <c r="M618" s="66" t="str">
        <f aca="false">IF(OR($D618="",$F618=""),"",IF(COUNTIFS($D$7:$D618,$D618,$F$7:$F618,$F618)=1,1,0))</f>
        <v/>
      </c>
    </row>
    <row r="619" customFormat="false" ht="15" hidden="false" customHeight="true" outlineLevel="0" collapsed="false">
      <c r="A619" s="38"/>
      <c r="B619" s="38"/>
      <c r="C619" s="38"/>
      <c r="D619" s="38"/>
      <c r="E619" s="13"/>
      <c r="F619" s="13"/>
      <c r="G619" s="67"/>
      <c r="H619" s="67"/>
      <c r="I619" s="67"/>
      <c r="J619" s="67"/>
      <c r="K619" s="38"/>
      <c r="L619" s="38"/>
      <c r="M619" s="66" t="str">
        <f aca="false">IF(OR($D619="",$F619=""),"",IF(COUNTIFS($D$7:$D619,$D619,$F$7:$F619,$F619)=1,1,0))</f>
        <v/>
      </c>
    </row>
    <row r="620" customFormat="false" ht="15" hidden="false" customHeight="true" outlineLevel="0" collapsed="false">
      <c r="A620" s="56"/>
      <c r="B620" s="56"/>
      <c r="C620" s="56"/>
      <c r="D620" s="56"/>
      <c r="E620" s="16"/>
      <c r="F620" s="16"/>
      <c r="G620" s="67"/>
      <c r="H620" s="67"/>
      <c r="I620" s="67"/>
      <c r="J620" s="67"/>
      <c r="K620" s="56"/>
      <c r="L620" s="56"/>
      <c r="M620" s="66" t="str">
        <f aca="false">IF(OR($D620="",$F620=""),"",IF(COUNTIFS($D$7:$D620,$D620,$F$7:$F620,$F620)=1,1,0))</f>
        <v/>
      </c>
    </row>
    <row r="621" customFormat="false" ht="15" hidden="false" customHeight="true" outlineLevel="0" collapsed="false">
      <c r="A621" s="38"/>
      <c r="B621" s="38"/>
      <c r="C621" s="38"/>
      <c r="D621" s="38"/>
      <c r="E621" s="13"/>
      <c r="F621" s="13"/>
      <c r="G621" s="67"/>
      <c r="H621" s="67"/>
      <c r="I621" s="67"/>
      <c r="J621" s="67"/>
      <c r="K621" s="38"/>
      <c r="L621" s="38"/>
      <c r="M621" s="66" t="str">
        <f aca="false">IF(OR($D621="",$F621=""),"",IF(COUNTIFS($D$7:$D621,$D621,$F$7:$F621,$F621)=1,1,0))</f>
        <v/>
      </c>
    </row>
    <row r="622" customFormat="false" ht="15" hidden="false" customHeight="true" outlineLevel="0" collapsed="false">
      <c r="A622" s="56"/>
      <c r="B622" s="56"/>
      <c r="C622" s="56"/>
      <c r="D622" s="56"/>
      <c r="E622" s="16"/>
      <c r="F622" s="16"/>
      <c r="G622" s="67"/>
      <c r="H622" s="67"/>
      <c r="I622" s="67"/>
      <c r="J622" s="67"/>
      <c r="K622" s="56"/>
      <c r="L622" s="56"/>
      <c r="M622" s="66" t="str">
        <f aca="false">IF(OR($D622="",$F622=""),"",IF(COUNTIFS($D$7:$D622,$D622,$F$7:$F622,$F622)=1,1,0))</f>
        <v/>
      </c>
    </row>
    <row r="623" customFormat="false" ht="15" hidden="false" customHeight="true" outlineLevel="0" collapsed="false">
      <c r="A623" s="38"/>
      <c r="B623" s="38"/>
      <c r="C623" s="38"/>
      <c r="D623" s="38"/>
      <c r="E623" s="13"/>
      <c r="F623" s="13"/>
      <c r="G623" s="67"/>
      <c r="H623" s="67"/>
      <c r="I623" s="67"/>
      <c r="J623" s="67"/>
      <c r="K623" s="38"/>
      <c r="L623" s="38"/>
      <c r="M623" s="66" t="str">
        <f aca="false">IF(OR($D623="",$F623=""),"",IF(COUNTIFS($D$7:$D623,$D623,$F$7:$F623,$F623)=1,1,0))</f>
        <v/>
      </c>
    </row>
    <row r="624" customFormat="false" ht="15" hidden="false" customHeight="true" outlineLevel="0" collapsed="false">
      <c r="A624" s="56"/>
      <c r="B624" s="56"/>
      <c r="C624" s="56"/>
      <c r="D624" s="56"/>
      <c r="E624" s="16"/>
      <c r="F624" s="16"/>
      <c r="G624" s="67"/>
      <c r="H624" s="67"/>
      <c r="I624" s="67"/>
      <c r="J624" s="67"/>
      <c r="K624" s="56"/>
      <c r="L624" s="56"/>
      <c r="M624" s="66" t="str">
        <f aca="false">IF(OR($D624="",$F624=""),"",IF(COUNTIFS($D$7:$D624,$D624,$F$7:$F624,$F624)=1,1,0))</f>
        <v/>
      </c>
    </row>
    <row r="625" customFormat="false" ht="15" hidden="false" customHeight="true" outlineLevel="0" collapsed="false">
      <c r="A625" s="38"/>
      <c r="B625" s="38"/>
      <c r="C625" s="38"/>
      <c r="D625" s="38"/>
      <c r="E625" s="13"/>
      <c r="F625" s="13"/>
      <c r="G625" s="67"/>
      <c r="H625" s="67"/>
      <c r="I625" s="67"/>
      <c r="J625" s="67"/>
      <c r="K625" s="38"/>
      <c r="L625" s="38"/>
      <c r="M625" s="66" t="str">
        <f aca="false">IF(OR($D625="",$F625=""),"",IF(COUNTIFS($D$7:$D625,$D625,$F$7:$F625,$F625)=1,1,0))</f>
        <v/>
      </c>
    </row>
    <row r="626" customFormat="false" ht="15" hidden="false" customHeight="true" outlineLevel="0" collapsed="false">
      <c r="A626" s="56"/>
      <c r="B626" s="56"/>
      <c r="C626" s="56"/>
      <c r="D626" s="56"/>
      <c r="E626" s="16"/>
      <c r="F626" s="16"/>
      <c r="G626" s="67"/>
      <c r="H626" s="67"/>
      <c r="I626" s="67"/>
      <c r="J626" s="67"/>
      <c r="K626" s="56"/>
      <c r="L626" s="56"/>
      <c r="M626" s="66" t="str">
        <f aca="false">IF(OR($D626="",$F626=""),"",IF(COUNTIFS($D$7:$D626,$D626,$F$7:$F626,$F626)=1,1,0))</f>
        <v/>
      </c>
    </row>
    <row r="627" customFormat="false" ht="15" hidden="false" customHeight="true" outlineLevel="0" collapsed="false">
      <c r="A627" s="38"/>
      <c r="B627" s="38"/>
      <c r="C627" s="38"/>
      <c r="D627" s="38"/>
      <c r="E627" s="13"/>
      <c r="F627" s="13"/>
      <c r="G627" s="67"/>
      <c r="H627" s="67"/>
      <c r="I627" s="67"/>
      <c r="J627" s="67"/>
      <c r="K627" s="38"/>
      <c r="L627" s="38"/>
      <c r="M627" s="66" t="str">
        <f aca="false">IF(OR($D627="",$F627=""),"",IF(COUNTIFS($D$7:$D627,$D627,$F$7:$F627,$F627)=1,1,0))</f>
        <v/>
      </c>
    </row>
    <row r="628" customFormat="false" ht="15" hidden="false" customHeight="true" outlineLevel="0" collapsed="false">
      <c r="A628" s="56"/>
      <c r="B628" s="56"/>
      <c r="C628" s="56"/>
      <c r="D628" s="56"/>
      <c r="E628" s="16"/>
      <c r="F628" s="16"/>
      <c r="G628" s="67"/>
      <c r="H628" s="67"/>
      <c r="I628" s="67"/>
      <c r="J628" s="67"/>
      <c r="K628" s="56"/>
      <c r="L628" s="56"/>
      <c r="M628" s="66" t="str">
        <f aca="false">IF(OR($D628="",$F628=""),"",IF(COUNTIFS($D$7:$D628,$D628,$F$7:$F628,$F628)=1,1,0))</f>
        <v/>
      </c>
    </row>
    <row r="629" customFormat="false" ht="15" hidden="false" customHeight="true" outlineLevel="0" collapsed="false">
      <c r="A629" s="38"/>
      <c r="B629" s="38"/>
      <c r="C629" s="38"/>
      <c r="D629" s="38"/>
      <c r="E629" s="13"/>
      <c r="F629" s="13"/>
      <c r="G629" s="67"/>
      <c r="H629" s="67"/>
      <c r="I629" s="67"/>
      <c r="J629" s="67"/>
      <c r="K629" s="38"/>
      <c r="L629" s="38"/>
      <c r="M629" s="66" t="str">
        <f aca="false">IF(OR($D629="",$F629=""),"",IF(COUNTIFS($D$7:$D629,$D629,$F$7:$F629,$F629)=1,1,0))</f>
        <v/>
      </c>
    </row>
    <row r="630" customFormat="false" ht="15" hidden="false" customHeight="true" outlineLevel="0" collapsed="false">
      <c r="A630" s="56"/>
      <c r="B630" s="56"/>
      <c r="C630" s="56"/>
      <c r="D630" s="56"/>
      <c r="E630" s="16"/>
      <c r="F630" s="16"/>
      <c r="G630" s="67"/>
      <c r="H630" s="67"/>
      <c r="I630" s="67"/>
      <c r="J630" s="67"/>
      <c r="K630" s="56"/>
      <c r="L630" s="56"/>
      <c r="M630" s="66" t="str">
        <f aca="false">IF(OR($D630="",$F630=""),"",IF(COUNTIFS($D$7:$D630,$D630,$F$7:$F630,$F630)=1,1,0))</f>
        <v/>
      </c>
    </row>
    <row r="631" customFormat="false" ht="15" hidden="false" customHeight="true" outlineLevel="0" collapsed="false">
      <c r="A631" s="38"/>
      <c r="B631" s="38"/>
      <c r="C631" s="38"/>
      <c r="D631" s="38"/>
      <c r="E631" s="13"/>
      <c r="F631" s="13"/>
      <c r="G631" s="67"/>
      <c r="H631" s="67"/>
      <c r="I631" s="67"/>
      <c r="J631" s="67"/>
      <c r="K631" s="38"/>
      <c r="L631" s="38"/>
      <c r="M631" s="66" t="str">
        <f aca="false">IF(OR($D631="",$F631=""),"",IF(COUNTIFS($D$7:$D631,$D631,$F$7:$F631,$F631)=1,1,0))</f>
        <v/>
      </c>
    </row>
    <row r="632" customFormat="false" ht="15" hidden="false" customHeight="true" outlineLevel="0" collapsed="false">
      <c r="A632" s="56"/>
      <c r="B632" s="56"/>
      <c r="C632" s="56"/>
      <c r="D632" s="56"/>
      <c r="E632" s="16"/>
      <c r="F632" s="16"/>
      <c r="G632" s="67"/>
      <c r="H632" s="67"/>
      <c r="I632" s="67"/>
      <c r="J632" s="67"/>
      <c r="K632" s="56"/>
      <c r="L632" s="56"/>
      <c r="M632" s="66" t="str">
        <f aca="false">IF(OR($D632="",$F632=""),"",IF(COUNTIFS($D$7:$D632,$D632,$F$7:$F632,$F632)=1,1,0))</f>
        <v/>
      </c>
    </row>
    <row r="633" customFormat="false" ht="15" hidden="false" customHeight="true" outlineLevel="0" collapsed="false">
      <c r="A633" s="38"/>
      <c r="B633" s="38"/>
      <c r="C633" s="38"/>
      <c r="D633" s="38"/>
      <c r="E633" s="13"/>
      <c r="F633" s="13"/>
      <c r="G633" s="67"/>
      <c r="H633" s="67"/>
      <c r="I633" s="67"/>
      <c r="J633" s="67"/>
      <c r="K633" s="38"/>
      <c r="L633" s="38"/>
      <c r="M633" s="66" t="str">
        <f aca="false">IF(OR($D633="",$F633=""),"",IF(COUNTIFS($D$7:$D633,$D633,$F$7:$F633,$F633)=1,1,0))</f>
        <v/>
      </c>
    </row>
    <row r="634" customFormat="false" ht="15" hidden="false" customHeight="true" outlineLevel="0" collapsed="false">
      <c r="A634" s="56"/>
      <c r="B634" s="56"/>
      <c r="C634" s="56"/>
      <c r="D634" s="56"/>
      <c r="E634" s="16"/>
      <c r="F634" s="16"/>
      <c r="G634" s="67"/>
      <c r="H634" s="67"/>
      <c r="I634" s="67"/>
      <c r="J634" s="67"/>
      <c r="K634" s="56"/>
      <c r="L634" s="56"/>
      <c r="M634" s="66" t="str">
        <f aca="false">IF(OR($D634="",$F634=""),"",IF(COUNTIFS($D$7:$D634,$D634,$F$7:$F634,$F634)=1,1,0))</f>
        <v/>
      </c>
    </row>
    <row r="635" customFormat="false" ht="15" hidden="false" customHeight="true" outlineLevel="0" collapsed="false">
      <c r="A635" s="38"/>
      <c r="B635" s="38"/>
      <c r="C635" s="38"/>
      <c r="D635" s="38"/>
      <c r="E635" s="13"/>
      <c r="F635" s="13"/>
      <c r="G635" s="67"/>
      <c r="H635" s="67"/>
      <c r="I635" s="67"/>
      <c r="J635" s="67"/>
      <c r="K635" s="38"/>
      <c r="L635" s="38"/>
      <c r="M635" s="66" t="str">
        <f aca="false">IF(OR($D635="",$F635=""),"",IF(COUNTIFS($D$7:$D635,$D635,$F$7:$F635,$F635)=1,1,0))</f>
        <v/>
      </c>
    </row>
    <row r="636" customFormat="false" ht="15" hidden="false" customHeight="true" outlineLevel="0" collapsed="false">
      <c r="A636" s="56"/>
      <c r="B636" s="56"/>
      <c r="C636" s="56"/>
      <c r="D636" s="56"/>
      <c r="E636" s="16"/>
      <c r="F636" s="16"/>
      <c r="G636" s="67"/>
      <c r="H636" s="67"/>
      <c r="I636" s="67"/>
      <c r="J636" s="67"/>
      <c r="K636" s="56"/>
      <c r="L636" s="56"/>
      <c r="M636" s="66" t="str">
        <f aca="false">IF(OR($D636="",$F636=""),"",IF(COUNTIFS($D$7:$D636,$D636,$F$7:$F636,$F636)=1,1,0))</f>
        <v/>
      </c>
    </row>
    <row r="637" customFormat="false" ht="15" hidden="false" customHeight="true" outlineLevel="0" collapsed="false">
      <c r="A637" s="38"/>
      <c r="B637" s="38"/>
      <c r="C637" s="38"/>
      <c r="D637" s="38"/>
      <c r="E637" s="13"/>
      <c r="F637" s="13"/>
      <c r="G637" s="67"/>
      <c r="H637" s="67"/>
      <c r="I637" s="67"/>
      <c r="J637" s="67"/>
      <c r="K637" s="38"/>
      <c r="L637" s="38"/>
      <c r="M637" s="66" t="str">
        <f aca="false">IF(OR($D637="",$F637=""),"",IF(COUNTIFS($D$7:$D637,$D637,$F$7:$F637,$F637)=1,1,0))</f>
        <v/>
      </c>
    </row>
    <row r="638" customFormat="false" ht="15" hidden="false" customHeight="true" outlineLevel="0" collapsed="false">
      <c r="A638" s="56"/>
      <c r="B638" s="56"/>
      <c r="C638" s="56"/>
      <c r="D638" s="56"/>
      <c r="E638" s="16"/>
      <c r="F638" s="16"/>
      <c r="G638" s="67"/>
      <c r="H638" s="67"/>
      <c r="I638" s="67"/>
      <c r="J638" s="67"/>
      <c r="K638" s="56"/>
      <c r="L638" s="56"/>
      <c r="M638" s="66" t="str">
        <f aca="false">IF(OR($D638="",$F638=""),"",IF(COUNTIFS($D$7:$D638,$D638,$F$7:$F638,$F638)=1,1,0))</f>
        <v/>
      </c>
    </row>
    <row r="639" customFormat="false" ht="15" hidden="false" customHeight="true" outlineLevel="0" collapsed="false">
      <c r="A639" s="38"/>
      <c r="B639" s="38"/>
      <c r="C639" s="38"/>
      <c r="D639" s="38"/>
      <c r="E639" s="13"/>
      <c r="F639" s="13"/>
      <c r="G639" s="67"/>
      <c r="H639" s="67"/>
      <c r="I639" s="67"/>
      <c r="J639" s="67"/>
      <c r="K639" s="38"/>
      <c r="L639" s="38"/>
      <c r="M639" s="66" t="str">
        <f aca="false">IF(OR($D639="",$F639=""),"",IF(COUNTIFS($D$7:$D639,$D639,$F$7:$F639,$F639)=1,1,0))</f>
        <v/>
      </c>
    </row>
    <row r="640" customFormat="false" ht="15" hidden="false" customHeight="true" outlineLevel="0" collapsed="false">
      <c r="A640" s="56"/>
      <c r="B640" s="56"/>
      <c r="C640" s="56"/>
      <c r="D640" s="56"/>
      <c r="E640" s="16"/>
      <c r="F640" s="16"/>
      <c r="G640" s="67"/>
      <c r="H640" s="67"/>
      <c r="I640" s="67"/>
      <c r="J640" s="67"/>
      <c r="K640" s="56"/>
      <c r="L640" s="56"/>
      <c r="M640" s="66" t="str">
        <f aca="false">IF(OR($D640="",$F640=""),"",IF(COUNTIFS($D$7:$D640,$D640,$F$7:$F640,$F640)=1,1,0))</f>
        <v/>
      </c>
    </row>
    <row r="641" customFormat="false" ht="15" hidden="false" customHeight="true" outlineLevel="0" collapsed="false">
      <c r="A641" s="38"/>
      <c r="B641" s="38"/>
      <c r="C641" s="38"/>
      <c r="D641" s="38"/>
      <c r="E641" s="13"/>
      <c r="F641" s="13"/>
      <c r="G641" s="67"/>
      <c r="H641" s="67"/>
      <c r="I641" s="67"/>
      <c r="J641" s="67"/>
      <c r="K641" s="38"/>
      <c r="L641" s="38"/>
      <c r="M641" s="66" t="str">
        <f aca="false">IF(OR($D641="",$F641=""),"",IF(COUNTIFS($D$7:$D641,$D641,$F$7:$F641,$F641)=1,1,0))</f>
        <v/>
      </c>
    </row>
    <row r="642" customFormat="false" ht="15" hidden="false" customHeight="true" outlineLevel="0" collapsed="false">
      <c r="A642" s="56"/>
      <c r="B642" s="56"/>
      <c r="C642" s="56"/>
      <c r="D642" s="56"/>
      <c r="E642" s="16"/>
      <c r="F642" s="16"/>
      <c r="G642" s="67"/>
      <c r="H642" s="67"/>
      <c r="I642" s="67"/>
      <c r="J642" s="67"/>
      <c r="K642" s="56"/>
      <c r="L642" s="56"/>
      <c r="M642" s="66" t="str">
        <f aca="false">IF(OR($D642="",$F642=""),"",IF(COUNTIFS($D$7:$D642,$D642,$F$7:$F642,$F642)=1,1,0))</f>
        <v/>
      </c>
    </row>
    <row r="643" customFormat="false" ht="15" hidden="false" customHeight="true" outlineLevel="0" collapsed="false">
      <c r="A643" s="38"/>
      <c r="B643" s="38"/>
      <c r="C643" s="38"/>
      <c r="D643" s="38"/>
      <c r="E643" s="13"/>
      <c r="F643" s="13"/>
      <c r="G643" s="67"/>
      <c r="H643" s="67"/>
      <c r="I643" s="67"/>
      <c r="J643" s="67"/>
      <c r="K643" s="38"/>
      <c r="L643" s="38"/>
      <c r="M643" s="66" t="str">
        <f aca="false">IF(OR($D643="",$F643=""),"",IF(COUNTIFS($D$7:$D643,$D643,$F$7:$F643,$F643)=1,1,0))</f>
        <v/>
      </c>
    </row>
    <row r="644" customFormat="false" ht="15" hidden="false" customHeight="true" outlineLevel="0" collapsed="false">
      <c r="A644" s="56"/>
      <c r="B644" s="56"/>
      <c r="C644" s="56"/>
      <c r="D644" s="56"/>
      <c r="E644" s="16"/>
      <c r="F644" s="16"/>
      <c r="G644" s="67"/>
      <c r="H644" s="67"/>
      <c r="I644" s="67"/>
      <c r="J644" s="67"/>
      <c r="K644" s="56"/>
      <c r="L644" s="56"/>
      <c r="M644" s="66" t="str">
        <f aca="false">IF(OR($D644="",$F644=""),"",IF(COUNTIFS($D$7:$D644,$D644,$F$7:$F644,$F644)=1,1,0))</f>
        <v/>
      </c>
    </row>
    <row r="645" customFormat="false" ht="15" hidden="false" customHeight="true" outlineLevel="0" collapsed="false">
      <c r="A645" s="38"/>
      <c r="B645" s="38"/>
      <c r="C645" s="38"/>
      <c r="D645" s="38"/>
      <c r="E645" s="13"/>
      <c r="F645" s="13"/>
      <c r="G645" s="67"/>
      <c r="H645" s="67"/>
      <c r="I645" s="67"/>
      <c r="J645" s="67"/>
      <c r="K645" s="38"/>
      <c r="L645" s="38"/>
      <c r="M645" s="66" t="str">
        <f aca="false">IF(OR($D645="",$F645=""),"",IF(COUNTIFS($D$7:$D645,$D645,$F$7:$F645,$F645)=1,1,0))</f>
        <v/>
      </c>
    </row>
    <row r="646" customFormat="false" ht="15" hidden="false" customHeight="true" outlineLevel="0" collapsed="false">
      <c r="A646" s="56"/>
      <c r="B646" s="56"/>
      <c r="C646" s="56"/>
      <c r="D646" s="56"/>
      <c r="E646" s="16"/>
      <c r="F646" s="16"/>
      <c r="G646" s="67"/>
      <c r="H646" s="67"/>
      <c r="I646" s="67"/>
      <c r="J646" s="67"/>
      <c r="K646" s="56"/>
      <c r="L646" s="56"/>
      <c r="M646" s="66" t="str">
        <f aca="false">IF(OR($D646="",$F646=""),"",IF(COUNTIFS($D$7:$D646,$D646,$F$7:$F646,$F646)=1,1,0))</f>
        <v/>
      </c>
    </row>
    <row r="647" customFormat="false" ht="15" hidden="false" customHeight="true" outlineLevel="0" collapsed="false">
      <c r="A647" s="38"/>
      <c r="B647" s="38"/>
      <c r="C647" s="38"/>
      <c r="D647" s="38"/>
      <c r="E647" s="13"/>
      <c r="F647" s="13"/>
      <c r="G647" s="67"/>
      <c r="H647" s="67"/>
      <c r="I647" s="67"/>
      <c r="J647" s="67"/>
      <c r="K647" s="38"/>
      <c r="L647" s="38"/>
      <c r="M647" s="66" t="str">
        <f aca="false">IF(OR($D647="",$F647=""),"",IF(COUNTIFS($D$7:$D647,$D647,$F$7:$F647,$F647)=1,1,0))</f>
        <v/>
      </c>
    </row>
    <row r="648" customFormat="false" ht="15" hidden="false" customHeight="true" outlineLevel="0" collapsed="false">
      <c r="A648" s="56"/>
      <c r="B648" s="56"/>
      <c r="C648" s="56"/>
      <c r="D648" s="56"/>
      <c r="E648" s="16"/>
      <c r="F648" s="16"/>
      <c r="G648" s="67"/>
      <c r="H648" s="67"/>
      <c r="I648" s="67"/>
      <c r="J648" s="67"/>
      <c r="K648" s="56"/>
      <c r="L648" s="56"/>
      <c r="M648" s="66" t="str">
        <f aca="false">IF(OR($D648="",$F648=""),"",IF(COUNTIFS($D$7:$D648,$D648,$F$7:$F648,$F648)=1,1,0))</f>
        <v/>
      </c>
    </row>
    <row r="649" customFormat="false" ht="15" hidden="false" customHeight="true" outlineLevel="0" collapsed="false">
      <c r="A649" s="38"/>
      <c r="B649" s="38"/>
      <c r="C649" s="38"/>
      <c r="D649" s="38"/>
      <c r="E649" s="13"/>
      <c r="F649" s="13"/>
      <c r="G649" s="67"/>
      <c r="H649" s="67"/>
      <c r="I649" s="67"/>
      <c r="J649" s="67"/>
      <c r="K649" s="38"/>
      <c r="L649" s="38"/>
      <c r="M649" s="66" t="str">
        <f aca="false">IF(OR($D649="",$F649=""),"",IF(COUNTIFS($D$7:$D649,$D649,$F$7:$F649,$F649)=1,1,0))</f>
        <v/>
      </c>
    </row>
    <row r="650" customFormat="false" ht="15" hidden="false" customHeight="true" outlineLevel="0" collapsed="false">
      <c r="A650" s="56"/>
      <c r="B650" s="56"/>
      <c r="C650" s="56"/>
      <c r="D650" s="56"/>
      <c r="E650" s="16"/>
      <c r="F650" s="16"/>
      <c r="G650" s="67"/>
      <c r="H650" s="67"/>
      <c r="I650" s="67"/>
      <c r="J650" s="67"/>
      <c r="K650" s="56"/>
      <c r="L650" s="56"/>
      <c r="M650" s="66" t="str">
        <f aca="false">IF(OR($D650="",$F650=""),"",IF(COUNTIFS($D$7:$D650,$D650,$F$7:$F650,$F650)=1,1,0))</f>
        <v/>
      </c>
    </row>
    <row r="651" customFormat="false" ht="15" hidden="false" customHeight="true" outlineLevel="0" collapsed="false">
      <c r="A651" s="38"/>
      <c r="B651" s="38"/>
      <c r="C651" s="38"/>
      <c r="D651" s="38"/>
      <c r="E651" s="13"/>
      <c r="F651" s="13"/>
      <c r="G651" s="67"/>
      <c r="H651" s="67"/>
      <c r="I651" s="67"/>
      <c r="J651" s="67"/>
      <c r="K651" s="38"/>
      <c r="L651" s="38"/>
      <c r="M651" s="66" t="str">
        <f aca="false">IF(OR($D651="",$F651=""),"",IF(COUNTIFS($D$7:$D651,$D651,$F$7:$F651,$F651)=1,1,0))</f>
        <v/>
      </c>
    </row>
    <row r="652" customFormat="false" ht="15" hidden="false" customHeight="true" outlineLevel="0" collapsed="false">
      <c r="A652" s="56"/>
      <c r="B652" s="56"/>
      <c r="C652" s="56"/>
      <c r="D652" s="56"/>
      <c r="E652" s="16"/>
      <c r="F652" s="16"/>
      <c r="G652" s="67"/>
      <c r="H652" s="67"/>
      <c r="I652" s="67"/>
      <c r="J652" s="67"/>
      <c r="K652" s="56"/>
      <c r="L652" s="56"/>
      <c r="M652" s="66" t="str">
        <f aca="false">IF(OR($D652="",$F652=""),"",IF(COUNTIFS($D$7:$D652,$D652,$F$7:$F652,$F652)=1,1,0))</f>
        <v/>
      </c>
    </row>
    <row r="653" customFormat="false" ht="15" hidden="false" customHeight="true" outlineLevel="0" collapsed="false">
      <c r="A653" s="38"/>
      <c r="B653" s="38"/>
      <c r="C653" s="38"/>
      <c r="D653" s="38"/>
      <c r="E653" s="13"/>
      <c r="F653" s="13"/>
      <c r="G653" s="67"/>
      <c r="H653" s="67"/>
      <c r="I653" s="67"/>
      <c r="J653" s="67"/>
      <c r="K653" s="38"/>
      <c r="L653" s="38"/>
      <c r="M653" s="66" t="str">
        <f aca="false">IF(OR($D653="",$F653=""),"",IF(COUNTIFS($D$7:$D653,$D653,$F$7:$F653,$F653)=1,1,0))</f>
        <v/>
      </c>
    </row>
    <row r="654" customFormat="false" ht="15" hidden="false" customHeight="true" outlineLevel="0" collapsed="false">
      <c r="A654" s="56"/>
      <c r="B654" s="56"/>
      <c r="C654" s="56"/>
      <c r="D654" s="56"/>
      <c r="E654" s="16"/>
      <c r="F654" s="16"/>
      <c r="G654" s="67"/>
      <c r="H654" s="67"/>
      <c r="I654" s="67"/>
      <c r="J654" s="67"/>
      <c r="K654" s="56"/>
      <c r="L654" s="56"/>
      <c r="M654" s="66" t="str">
        <f aca="false">IF(OR($D654="",$F654=""),"",IF(COUNTIFS($D$7:$D654,$D654,$F$7:$F654,$F654)=1,1,0))</f>
        <v/>
      </c>
    </row>
    <row r="655" customFormat="false" ht="15" hidden="false" customHeight="true" outlineLevel="0" collapsed="false">
      <c r="A655" s="38"/>
      <c r="B655" s="38"/>
      <c r="C655" s="38"/>
      <c r="D655" s="38"/>
      <c r="E655" s="13"/>
      <c r="F655" s="13"/>
      <c r="G655" s="67"/>
      <c r="H655" s="67"/>
      <c r="I655" s="67"/>
      <c r="J655" s="67"/>
      <c r="K655" s="38"/>
      <c r="L655" s="38"/>
      <c r="M655" s="66" t="str">
        <f aca="false">IF(OR($D655="",$F655=""),"",IF(COUNTIFS($D$7:$D655,$D655,$F$7:$F655,$F655)=1,1,0))</f>
        <v/>
      </c>
    </row>
    <row r="656" customFormat="false" ht="15" hidden="false" customHeight="true" outlineLevel="0" collapsed="false">
      <c r="A656" s="56"/>
      <c r="B656" s="56"/>
      <c r="C656" s="56"/>
      <c r="D656" s="56"/>
      <c r="E656" s="16"/>
      <c r="F656" s="16"/>
      <c r="G656" s="67"/>
      <c r="H656" s="67"/>
      <c r="I656" s="67"/>
      <c r="J656" s="67"/>
      <c r="K656" s="56"/>
      <c r="L656" s="56"/>
      <c r="M656" s="66" t="str">
        <f aca="false">IF(OR($D656="",$F656=""),"",IF(COUNTIFS($D$7:$D656,$D656,$F$7:$F656,$F656)=1,1,0))</f>
        <v/>
      </c>
    </row>
    <row r="657" customFormat="false" ht="15" hidden="false" customHeight="true" outlineLevel="0" collapsed="false">
      <c r="A657" s="38"/>
      <c r="B657" s="38"/>
      <c r="C657" s="38"/>
      <c r="D657" s="38"/>
      <c r="E657" s="13"/>
      <c r="F657" s="13"/>
      <c r="G657" s="67"/>
      <c r="H657" s="67"/>
      <c r="I657" s="67"/>
      <c r="J657" s="67"/>
      <c r="K657" s="38"/>
      <c r="L657" s="38"/>
      <c r="M657" s="66" t="str">
        <f aca="false">IF(OR($D657="",$F657=""),"",IF(COUNTIFS($D$7:$D657,$D657,$F$7:$F657,$F657)=1,1,0))</f>
        <v/>
      </c>
    </row>
    <row r="658" customFormat="false" ht="15" hidden="false" customHeight="true" outlineLevel="0" collapsed="false">
      <c r="A658" s="56"/>
      <c r="B658" s="56"/>
      <c r="C658" s="56"/>
      <c r="D658" s="56"/>
      <c r="E658" s="16"/>
      <c r="F658" s="16"/>
      <c r="G658" s="67"/>
      <c r="H658" s="67"/>
      <c r="I658" s="67"/>
      <c r="J658" s="67"/>
      <c r="K658" s="56"/>
      <c r="L658" s="56"/>
      <c r="M658" s="66" t="str">
        <f aca="false">IF(OR($D658="",$F658=""),"",IF(COUNTIFS($D$7:$D658,$D658,$F$7:$F658,$F658)=1,1,0))</f>
        <v/>
      </c>
    </row>
    <row r="659" customFormat="false" ht="15" hidden="false" customHeight="true" outlineLevel="0" collapsed="false">
      <c r="A659" s="38"/>
      <c r="B659" s="38"/>
      <c r="C659" s="38"/>
      <c r="D659" s="38"/>
      <c r="E659" s="13"/>
      <c r="F659" s="13"/>
      <c r="G659" s="67"/>
      <c r="H659" s="67"/>
      <c r="I659" s="67"/>
      <c r="J659" s="67"/>
      <c r="K659" s="38"/>
      <c r="L659" s="38"/>
      <c r="M659" s="66" t="str">
        <f aca="false">IF(OR($D659="",$F659=""),"",IF(COUNTIFS($D$7:$D659,$D659,$F$7:$F659,$F659)=1,1,0))</f>
        <v/>
      </c>
    </row>
    <row r="660" customFormat="false" ht="15" hidden="false" customHeight="true" outlineLevel="0" collapsed="false">
      <c r="A660" s="56"/>
      <c r="B660" s="56"/>
      <c r="C660" s="56"/>
      <c r="D660" s="56"/>
      <c r="E660" s="16"/>
      <c r="F660" s="16"/>
      <c r="G660" s="67"/>
      <c r="H660" s="67"/>
      <c r="I660" s="67"/>
      <c r="J660" s="67"/>
      <c r="K660" s="56"/>
      <c r="L660" s="56"/>
      <c r="M660" s="66" t="str">
        <f aca="false">IF(OR($D660="",$F660=""),"",IF(COUNTIFS($D$7:$D660,$D660,$F$7:$F660,$F660)=1,1,0))</f>
        <v/>
      </c>
    </row>
    <row r="661" customFormat="false" ht="15" hidden="false" customHeight="true" outlineLevel="0" collapsed="false">
      <c r="A661" s="38"/>
      <c r="B661" s="38"/>
      <c r="C661" s="38"/>
      <c r="D661" s="38"/>
      <c r="E661" s="13"/>
      <c r="F661" s="13"/>
      <c r="G661" s="67"/>
      <c r="H661" s="67"/>
      <c r="I661" s="67"/>
      <c r="J661" s="67"/>
      <c r="K661" s="38"/>
      <c r="L661" s="38"/>
      <c r="M661" s="66" t="str">
        <f aca="false">IF(OR($D661="",$F661=""),"",IF(COUNTIFS($D$7:$D661,$D661,$F$7:$F661,$F661)=1,1,0))</f>
        <v/>
      </c>
    </row>
    <row r="662" customFormat="false" ht="15" hidden="false" customHeight="true" outlineLevel="0" collapsed="false">
      <c r="A662" s="56"/>
      <c r="B662" s="56"/>
      <c r="C662" s="56"/>
      <c r="D662" s="56"/>
      <c r="E662" s="16"/>
      <c r="F662" s="16"/>
      <c r="G662" s="67"/>
      <c r="H662" s="67"/>
      <c r="I662" s="67"/>
      <c r="J662" s="67"/>
      <c r="K662" s="56"/>
      <c r="L662" s="56"/>
      <c r="M662" s="66" t="str">
        <f aca="false">IF(OR($D662="",$F662=""),"",IF(COUNTIFS($D$7:$D662,$D662,$F$7:$F662,$F662)=1,1,0))</f>
        <v/>
      </c>
    </row>
    <row r="663" customFormat="false" ht="15" hidden="false" customHeight="true" outlineLevel="0" collapsed="false">
      <c r="A663" s="38"/>
      <c r="B663" s="38"/>
      <c r="C663" s="38"/>
      <c r="D663" s="38"/>
      <c r="E663" s="13"/>
      <c r="F663" s="13"/>
      <c r="G663" s="67"/>
      <c r="H663" s="67"/>
      <c r="I663" s="67"/>
      <c r="J663" s="67"/>
      <c r="K663" s="38"/>
      <c r="L663" s="38"/>
      <c r="M663" s="66" t="str">
        <f aca="false">IF(OR($D663="",$F663=""),"",IF(COUNTIFS($D$7:$D663,$D663,$F$7:$F663,$F663)=1,1,0))</f>
        <v/>
      </c>
    </row>
    <row r="664" customFormat="false" ht="15" hidden="false" customHeight="true" outlineLevel="0" collapsed="false">
      <c r="A664" s="56"/>
      <c r="B664" s="56"/>
      <c r="C664" s="56"/>
      <c r="D664" s="56"/>
      <c r="E664" s="16"/>
      <c r="F664" s="16"/>
      <c r="G664" s="67"/>
      <c r="H664" s="67"/>
      <c r="I664" s="67"/>
      <c r="J664" s="67"/>
      <c r="K664" s="56"/>
      <c r="L664" s="56"/>
      <c r="M664" s="66" t="str">
        <f aca="false">IF(OR($D664="",$F664=""),"",IF(COUNTIFS($D$7:$D664,$D664,$F$7:$F664,$F664)=1,1,0))</f>
        <v/>
      </c>
    </row>
    <row r="665" customFormat="false" ht="15" hidden="false" customHeight="true" outlineLevel="0" collapsed="false">
      <c r="A665" s="38"/>
      <c r="B665" s="38"/>
      <c r="C665" s="38"/>
      <c r="D665" s="38"/>
      <c r="E665" s="13"/>
      <c r="F665" s="13"/>
      <c r="G665" s="67"/>
      <c r="H665" s="67"/>
      <c r="I665" s="67"/>
      <c r="J665" s="67"/>
      <c r="K665" s="38"/>
      <c r="L665" s="38"/>
      <c r="M665" s="66" t="str">
        <f aca="false">IF(OR($D665="",$F665=""),"",IF(COUNTIFS($D$7:$D665,$D665,$F$7:$F665,$F665)=1,1,0))</f>
        <v/>
      </c>
    </row>
    <row r="666" customFormat="false" ht="15" hidden="false" customHeight="true" outlineLevel="0" collapsed="false">
      <c r="A666" s="56"/>
      <c r="B666" s="56"/>
      <c r="C666" s="56"/>
      <c r="D666" s="56"/>
      <c r="E666" s="16"/>
      <c r="F666" s="16"/>
      <c r="G666" s="67"/>
      <c r="H666" s="67"/>
      <c r="I666" s="67"/>
      <c r="J666" s="67"/>
      <c r="K666" s="56"/>
      <c r="L666" s="56"/>
      <c r="M666" s="66" t="str">
        <f aca="false">IF(OR($D666="",$F666=""),"",IF(COUNTIFS($D$7:$D666,$D666,$F$7:$F666,$F666)=1,1,0))</f>
        <v/>
      </c>
    </row>
    <row r="667" customFormat="false" ht="15" hidden="false" customHeight="true" outlineLevel="0" collapsed="false">
      <c r="A667" s="38"/>
      <c r="B667" s="38"/>
      <c r="C667" s="38"/>
      <c r="D667" s="38"/>
      <c r="E667" s="13"/>
      <c r="F667" s="13"/>
      <c r="G667" s="67"/>
      <c r="H667" s="67"/>
      <c r="I667" s="67"/>
      <c r="J667" s="67"/>
      <c r="K667" s="38"/>
      <c r="L667" s="38"/>
      <c r="M667" s="66" t="str">
        <f aca="false">IF(OR($D667="",$F667=""),"",IF(COUNTIFS($D$7:$D667,$D667,$F$7:$F667,$F667)=1,1,0))</f>
        <v/>
      </c>
    </row>
    <row r="668" customFormat="false" ht="15" hidden="false" customHeight="true" outlineLevel="0" collapsed="false">
      <c r="A668" s="56"/>
      <c r="B668" s="56"/>
      <c r="C668" s="56"/>
      <c r="D668" s="56"/>
      <c r="E668" s="16"/>
      <c r="F668" s="16"/>
      <c r="G668" s="67"/>
      <c r="H668" s="67"/>
      <c r="I668" s="67"/>
      <c r="J668" s="67"/>
      <c r="K668" s="56"/>
      <c r="L668" s="56"/>
      <c r="M668" s="66" t="str">
        <f aca="false">IF(OR($D668="",$F668=""),"",IF(COUNTIFS($D$7:$D668,$D668,$F$7:$F668,$F668)=1,1,0))</f>
        <v/>
      </c>
    </row>
    <row r="669" customFormat="false" ht="15" hidden="false" customHeight="true" outlineLevel="0" collapsed="false">
      <c r="A669" s="38"/>
      <c r="B669" s="38"/>
      <c r="C669" s="38"/>
      <c r="D669" s="38"/>
      <c r="E669" s="13"/>
      <c r="F669" s="13"/>
      <c r="G669" s="67"/>
      <c r="H669" s="67"/>
      <c r="I669" s="67"/>
      <c r="J669" s="67"/>
      <c r="K669" s="38"/>
      <c r="L669" s="38"/>
      <c r="M669" s="66" t="str">
        <f aca="false">IF(OR($D669="",$F669=""),"",IF(COUNTIFS($D$7:$D669,$D669,$F$7:$F669,$F669)=1,1,0))</f>
        <v/>
      </c>
    </row>
    <row r="670" customFormat="false" ht="15" hidden="false" customHeight="true" outlineLevel="0" collapsed="false">
      <c r="A670" s="56"/>
      <c r="B670" s="56"/>
      <c r="C670" s="56"/>
      <c r="D670" s="56"/>
      <c r="E670" s="16"/>
      <c r="F670" s="16"/>
      <c r="G670" s="67"/>
      <c r="H670" s="67"/>
      <c r="I670" s="67"/>
      <c r="J670" s="67"/>
      <c r="K670" s="56"/>
      <c r="L670" s="56"/>
      <c r="M670" s="66" t="str">
        <f aca="false">IF(OR($D670="",$F670=""),"",IF(COUNTIFS($D$7:$D670,$D670,$F$7:$F670,$F670)=1,1,0))</f>
        <v/>
      </c>
    </row>
    <row r="671" customFormat="false" ht="15" hidden="false" customHeight="true" outlineLevel="0" collapsed="false">
      <c r="A671" s="38"/>
      <c r="B671" s="38"/>
      <c r="C671" s="38"/>
      <c r="D671" s="38"/>
      <c r="E671" s="13"/>
      <c r="F671" s="13"/>
      <c r="G671" s="67"/>
      <c r="H671" s="67"/>
      <c r="I671" s="67"/>
      <c r="J671" s="67"/>
      <c r="K671" s="38"/>
      <c r="L671" s="38"/>
      <c r="M671" s="66" t="str">
        <f aca="false">IF(OR($D671="",$F671=""),"",IF(COUNTIFS($D$7:$D671,$D671,$F$7:$F671,$F671)=1,1,0))</f>
        <v/>
      </c>
    </row>
    <row r="672" customFormat="false" ht="15" hidden="false" customHeight="true" outlineLevel="0" collapsed="false">
      <c r="A672" s="56"/>
      <c r="B672" s="56"/>
      <c r="C672" s="56"/>
      <c r="D672" s="56"/>
      <c r="E672" s="16"/>
      <c r="F672" s="16"/>
      <c r="G672" s="67"/>
      <c r="H672" s="67"/>
      <c r="I672" s="67"/>
      <c r="J672" s="67"/>
      <c r="K672" s="56"/>
      <c r="L672" s="56"/>
      <c r="M672" s="66" t="str">
        <f aca="false">IF(OR($D672="",$F672=""),"",IF(COUNTIFS($D$7:$D672,$D672,$F$7:$F672,$F672)=1,1,0))</f>
        <v/>
      </c>
    </row>
    <row r="673" customFormat="false" ht="15" hidden="false" customHeight="true" outlineLevel="0" collapsed="false">
      <c r="A673" s="38"/>
      <c r="B673" s="38"/>
      <c r="C673" s="38"/>
      <c r="D673" s="38"/>
      <c r="E673" s="13"/>
      <c r="F673" s="13"/>
      <c r="G673" s="67"/>
      <c r="H673" s="67"/>
      <c r="I673" s="67"/>
      <c r="J673" s="67"/>
      <c r="K673" s="38"/>
      <c r="L673" s="38"/>
      <c r="M673" s="66" t="str">
        <f aca="false">IF(OR($D673="",$F673=""),"",IF(COUNTIFS($D$7:$D673,$D673,$F$7:$F673,$F673)=1,1,0))</f>
        <v/>
      </c>
    </row>
    <row r="674" customFormat="false" ht="15" hidden="false" customHeight="true" outlineLevel="0" collapsed="false">
      <c r="A674" s="56"/>
      <c r="B674" s="56"/>
      <c r="C674" s="56"/>
      <c r="D674" s="56"/>
      <c r="E674" s="16"/>
      <c r="F674" s="16"/>
      <c r="G674" s="67"/>
      <c r="H674" s="67"/>
      <c r="I674" s="67"/>
      <c r="J674" s="67"/>
      <c r="K674" s="56"/>
      <c r="L674" s="56"/>
      <c r="M674" s="66" t="str">
        <f aca="false">IF(OR($D674="",$F674=""),"",IF(COUNTIFS($D$7:$D674,$D674,$F$7:$F674,$F674)=1,1,0))</f>
        <v/>
      </c>
    </row>
    <row r="675" customFormat="false" ht="15" hidden="false" customHeight="true" outlineLevel="0" collapsed="false">
      <c r="A675" s="38"/>
      <c r="B675" s="38"/>
      <c r="C675" s="38"/>
      <c r="D675" s="38"/>
      <c r="E675" s="13"/>
      <c r="F675" s="13"/>
      <c r="G675" s="67"/>
      <c r="H675" s="67"/>
      <c r="I675" s="67"/>
      <c r="J675" s="67"/>
      <c r="K675" s="38"/>
      <c r="L675" s="38"/>
      <c r="M675" s="66" t="str">
        <f aca="false">IF(OR($D675="",$F675=""),"",IF(COUNTIFS($D$7:$D675,$D675,$F$7:$F675,$F675)=1,1,0))</f>
        <v/>
      </c>
    </row>
    <row r="676" customFormat="false" ht="15" hidden="false" customHeight="true" outlineLevel="0" collapsed="false">
      <c r="A676" s="56"/>
      <c r="B676" s="56"/>
      <c r="C676" s="56"/>
      <c r="D676" s="56"/>
      <c r="E676" s="16"/>
      <c r="F676" s="16"/>
      <c r="G676" s="67"/>
      <c r="H676" s="67"/>
      <c r="I676" s="67"/>
      <c r="J676" s="67"/>
      <c r="K676" s="56"/>
      <c r="L676" s="56"/>
      <c r="M676" s="66" t="str">
        <f aca="false">IF(OR($D676="",$F676=""),"",IF(COUNTIFS($D$7:$D676,$D676,$F$7:$F676,$F676)=1,1,0))</f>
        <v/>
      </c>
    </row>
    <row r="677" customFormat="false" ht="15" hidden="false" customHeight="true" outlineLevel="0" collapsed="false">
      <c r="A677" s="38"/>
      <c r="B677" s="38"/>
      <c r="C677" s="38"/>
      <c r="D677" s="38"/>
      <c r="E677" s="13"/>
      <c r="F677" s="13"/>
      <c r="G677" s="67"/>
      <c r="H677" s="67"/>
      <c r="I677" s="67"/>
      <c r="J677" s="67"/>
      <c r="K677" s="38"/>
      <c r="L677" s="38"/>
      <c r="M677" s="66" t="str">
        <f aca="false">IF(OR($D677="",$F677=""),"",IF(COUNTIFS($D$7:$D677,$D677,$F$7:$F677,$F677)=1,1,0))</f>
        <v/>
      </c>
    </row>
    <row r="678" customFormat="false" ht="15" hidden="false" customHeight="true" outlineLevel="0" collapsed="false">
      <c r="A678" s="56"/>
      <c r="B678" s="56"/>
      <c r="C678" s="56"/>
      <c r="D678" s="56"/>
      <c r="E678" s="16"/>
      <c r="F678" s="16"/>
      <c r="G678" s="67"/>
      <c r="H678" s="67"/>
      <c r="I678" s="67"/>
      <c r="J678" s="67"/>
      <c r="K678" s="56"/>
      <c r="L678" s="56"/>
      <c r="M678" s="66" t="str">
        <f aca="false">IF(OR($D678="",$F678=""),"",IF(COUNTIFS($D$7:$D678,$D678,$F$7:$F678,$F678)=1,1,0))</f>
        <v/>
      </c>
    </row>
    <row r="679" customFormat="false" ht="15" hidden="false" customHeight="true" outlineLevel="0" collapsed="false">
      <c r="A679" s="38"/>
      <c r="B679" s="38"/>
      <c r="C679" s="38"/>
      <c r="D679" s="38"/>
      <c r="E679" s="13"/>
      <c r="F679" s="13"/>
      <c r="G679" s="67"/>
      <c r="H679" s="67"/>
      <c r="I679" s="67"/>
      <c r="J679" s="67"/>
      <c r="K679" s="38"/>
      <c r="L679" s="38"/>
      <c r="M679" s="66" t="str">
        <f aca="false">IF(OR($D679="",$F679=""),"",IF(COUNTIFS($D$7:$D679,$D679,$F$7:$F679,$F679)=1,1,0))</f>
        <v/>
      </c>
    </row>
    <row r="680" customFormat="false" ht="15" hidden="false" customHeight="true" outlineLevel="0" collapsed="false">
      <c r="A680" s="56"/>
      <c r="B680" s="56"/>
      <c r="C680" s="56"/>
      <c r="D680" s="56"/>
      <c r="E680" s="16"/>
      <c r="F680" s="16"/>
      <c r="G680" s="67"/>
      <c r="H680" s="67"/>
      <c r="I680" s="67"/>
      <c r="J680" s="67"/>
      <c r="K680" s="56"/>
      <c r="L680" s="56"/>
      <c r="M680" s="66" t="str">
        <f aca="false">IF(OR($D680="",$F680=""),"",IF(COUNTIFS($D$7:$D680,$D680,$F$7:$F680,$F680)=1,1,0))</f>
        <v/>
      </c>
    </row>
    <row r="681" customFormat="false" ht="15" hidden="false" customHeight="true" outlineLevel="0" collapsed="false">
      <c r="A681" s="38"/>
      <c r="B681" s="38"/>
      <c r="C681" s="38"/>
      <c r="D681" s="38"/>
      <c r="E681" s="13"/>
      <c r="F681" s="13"/>
      <c r="G681" s="67"/>
      <c r="H681" s="67"/>
      <c r="I681" s="67"/>
      <c r="J681" s="67"/>
      <c r="K681" s="38"/>
      <c r="L681" s="38"/>
      <c r="M681" s="66" t="str">
        <f aca="false">IF(OR($D681="",$F681=""),"",IF(COUNTIFS($D$7:$D681,$D681,$F$7:$F681,$F681)=1,1,0))</f>
        <v/>
      </c>
    </row>
    <row r="682" customFormat="false" ht="15" hidden="false" customHeight="true" outlineLevel="0" collapsed="false">
      <c r="A682" s="56"/>
      <c r="B682" s="56"/>
      <c r="C682" s="56"/>
      <c r="D682" s="56"/>
      <c r="E682" s="16"/>
      <c r="F682" s="16"/>
      <c r="G682" s="67"/>
      <c r="H682" s="67"/>
      <c r="I682" s="67"/>
      <c r="J682" s="67"/>
      <c r="K682" s="56"/>
      <c r="L682" s="56"/>
      <c r="M682" s="66" t="str">
        <f aca="false">IF(OR($D682="",$F682=""),"",IF(COUNTIFS($D$7:$D682,$D682,$F$7:$F682,$F682)=1,1,0))</f>
        <v/>
      </c>
    </row>
    <row r="683" customFormat="false" ht="15" hidden="false" customHeight="true" outlineLevel="0" collapsed="false">
      <c r="A683" s="38"/>
      <c r="B683" s="38"/>
      <c r="C683" s="38"/>
      <c r="D683" s="38"/>
      <c r="E683" s="13"/>
      <c r="F683" s="13"/>
      <c r="G683" s="67"/>
      <c r="H683" s="67"/>
      <c r="I683" s="67"/>
      <c r="J683" s="67"/>
      <c r="K683" s="38"/>
      <c r="L683" s="38"/>
      <c r="M683" s="66" t="str">
        <f aca="false">IF(OR($D683="",$F683=""),"",IF(COUNTIFS($D$7:$D683,$D683,$F$7:$F683,$F683)=1,1,0))</f>
        <v/>
      </c>
    </row>
    <row r="684" customFormat="false" ht="15" hidden="false" customHeight="true" outlineLevel="0" collapsed="false">
      <c r="A684" s="56"/>
      <c r="B684" s="56"/>
      <c r="C684" s="56"/>
      <c r="D684" s="56"/>
      <c r="E684" s="16"/>
      <c r="F684" s="16"/>
      <c r="G684" s="67"/>
      <c r="H684" s="67"/>
      <c r="I684" s="67"/>
      <c r="J684" s="67"/>
      <c r="K684" s="56"/>
      <c r="L684" s="56"/>
      <c r="M684" s="66" t="str">
        <f aca="false">IF(OR($D684="",$F684=""),"",IF(COUNTIFS($D$7:$D684,$D684,$F$7:$F684,$F684)=1,1,0))</f>
        <v/>
      </c>
    </row>
    <row r="685" customFormat="false" ht="15" hidden="false" customHeight="true" outlineLevel="0" collapsed="false">
      <c r="A685" s="38"/>
      <c r="B685" s="38"/>
      <c r="C685" s="38"/>
      <c r="D685" s="38"/>
      <c r="E685" s="13"/>
      <c r="F685" s="13"/>
      <c r="G685" s="67"/>
      <c r="H685" s="67"/>
      <c r="I685" s="67"/>
      <c r="J685" s="67"/>
      <c r="K685" s="38"/>
      <c r="L685" s="38"/>
      <c r="M685" s="66" t="str">
        <f aca="false">IF(OR($D685="",$F685=""),"",IF(COUNTIFS($D$7:$D685,$D685,$F$7:$F685,$F685)=1,1,0))</f>
        <v/>
      </c>
    </row>
    <row r="686" customFormat="false" ht="15" hidden="false" customHeight="true" outlineLevel="0" collapsed="false">
      <c r="A686" s="56"/>
      <c r="B686" s="56"/>
      <c r="C686" s="56"/>
      <c r="D686" s="56"/>
      <c r="E686" s="16"/>
      <c r="F686" s="16"/>
      <c r="G686" s="67"/>
      <c r="H686" s="67"/>
      <c r="I686" s="67"/>
      <c r="J686" s="67"/>
      <c r="K686" s="56"/>
      <c r="L686" s="56"/>
      <c r="M686" s="66" t="str">
        <f aca="false">IF(OR($D686="",$F686=""),"",IF(COUNTIFS($D$7:$D686,$D686,$F$7:$F686,$F686)=1,1,0))</f>
        <v/>
      </c>
    </row>
    <row r="687" customFormat="false" ht="15" hidden="false" customHeight="true" outlineLevel="0" collapsed="false">
      <c r="A687" s="38"/>
      <c r="B687" s="38"/>
      <c r="C687" s="38"/>
      <c r="D687" s="38"/>
      <c r="E687" s="13"/>
      <c r="F687" s="13"/>
      <c r="G687" s="67"/>
      <c r="H687" s="67"/>
      <c r="I687" s="67"/>
      <c r="J687" s="67"/>
      <c r="K687" s="38"/>
      <c r="L687" s="38"/>
      <c r="M687" s="66" t="str">
        <f aca="false">IF(OR($D687="",$F687=""),"",IF(COUNTIFS($D$7:$D687,$D687,$F$7:$F687,$F687)=1,1,0))</f>
        <v/>
      </c>
    </row>
    <row r="688" customFormat="false" ht="15" hidden="false" customHeight="true" outlineLevel="0" collapsed="false">
      <c r="A688" s="56"/>
      <c r="B688" s="56"/>
      <c r="C688" s="56"/>
      <c r="D688" s="56"/>
      <c r="E688" s="16"/>
      <c r="F688" s="16"/>
      <c r="G688" s="67"/>
      <c r="H688" s="67"/>
      <c r="I688" s="67"/>
      <c r="J688" s="67"/>
      <c r="K688" s="56"/>
      <c r="L688" s="56"/>
      <c r="M688" s="66" t="str">
        <f aca="false">IF(OR($D688="",$F688=""),"",IF(COUNTIFS($D$7:$D688,$D688,$F$7:$F688,$F688)=1,1,0))</f>
        <v/>
      </c>
    </row>
    <row r="689" customFormat="false" ht="15" hidden="false" customHeight="true" outlineLevel="0" collapsed="false">
      <c r="A689" s="38"/>
      <c r="B689" s="38"/>
      <c r="C689" s="38"/>
      <c r="D689" s="38"/>
      <c r="E689" s="13"/>
      <c r="F689" s="13"/>
      <c r="G689" s="67"/>
      <c r="H689" s="67"/>
      <c r="I689" s="67"/>
      <c r="J689" s="67"/>
      <c r="K689" s="38"/>
      <c r="L689" s="38"/>
      <c r="M689" s="66" t="str">
        <f aca="false">IF(OR($D689="",$F689=""),"",IF(COUNTIFS($D$7:$D689,$D689,$F$7:$F689,$F689)=1,1,0))</f>
        <v/>
      </c>
    </row>
    <row r="690" customFormat="false" ht="15" hidden="false" customHeight="true" outlineLevel="0" collapsed="false">
      <c r="A690" s="56"/>
      <c r="B690" s="56"/>
      <c r="C690" s="56"/>
      <c r="D690" s="56"/>
      <c r="E690" s="16"/>
      <c r="F690" s="16"/>
      <c r="G690" s="67"/>
      <c r="H690" s="67"/>
      <c r="I690" s="67"/>
      <c r="J690" s="67"/>
      <c r="K690" s="56"/>
      <c r="L690" s="56"/>
      <c r="M690" s="66" t="str">
        <f aca="false">IF(OR($D690="",$F690=""),"",IF(COUNTIFS($D$7:$D690,$D690,$F$7:$F690,$F690)=1,1,0))</f>
        <v/>
      </c>
    </row>
    <row r="691" customFormat="false" ht="15" hidden="false" customHeight="true" outlineLevel="0" collapsed="false">
      <c r="A691" s="38"/>
      <c r="B691" s="38"/>
      <c r="C691" s="38"/>
      <c r="D691" s="38"/>
      <c r="E691" s="13"/>
      <c r="F691" s="13"/>
      <c r="G691" s="67"/>
      <c r="H691" s="67"/>
      <c r="I691" s="67"/>
      <c r="J691" s="67"/>
      <c r="K691" s="38"/>
      <c r="L691" s="38"/>
      <c r="M691" s="66" t="str">
        <f aca="false">IF(OR($D691="",$F691=""),"",IF(COUNTIFS($D$7:$D691,$D691,$F$7:$F691,$F691)=1,1,0))</f>
        <v/>
      </c>
    </row>
    <row r="692" customFormat="false" ht="15" hidden="false" customHeight="true" outlineLevel="0" collapsed="false">
      <c r="A692" s="56"/>
      <c r="B692" s="56"/>
      <c r="C692" s="56"/>
      <c r="D692" s="56"/>
      <c r="E692" s="16"/>
      <c r="F692" s="16"/>
      <c r="G692" s="67"/>
      <c r="H692" s="67"/>
      <c r="I692" s="67"/>
      <c r="J692" s="67"/>
      <c r="K692" s="56"/>
      <c r="L692" s="56"/>
      <c r="M692" s="66" t="str">
        <f aca="false">IF(OR($D692="",$F692=""),"",IF(COUNTIFS($D$7:$D692,$D692,$F$7:$F692,$F692)=1,1,0))</f>
        <v/>
      </c>
    </row>
    <row r="693" customFormat="false" ht="15" hidden="false" customHeight="true" outlineLevel="0" collapsed="false">
      <c r="A693" s="38"/>
      <c r="B693" s="38"/>
      <c r="C693" s="38"/>
      <c r="D693" s="38"/>
      <c r="E693" s="13"/>
      <c r="F693" s="13"/>
      <c r="G693" s="67"/>
      <c r="H693" s="67"/>
      <c r="I693" s="67"/>
      <c r="J693" s="67"/>
      <c r="K693" s="38"/>
      <c r="L693" s="38"/>
      <c r="M693" s="66" t="str">
        <f aca="false">IF(OR($D693="",$F693=""),"",IF(COUNTIFS($D$7:$D693,$D693,$F$7:$F693,$F693)=1,1,0))</f>
        <v/>
      </c>
    </row>
    <row r="694" customFormat="false" ht="15" hidden="false" customHeight="true" outlineLevel="0" collapsed="false">
      <c r="A694" s="56"/>
      <c r="B694" s="56"/>
      <c r="C694" s="56"/>
      <c r="D694" s="56"/>
      <c r="E694" s="16"/>
      <c r="F694" s="16"/>
      <c r="G694" s="67"/>
      <c r="H694" s="67"/>
      <c r="I694" s="67"/>
      <c r="J694" s="67"/>
      <c r="K694" s="56"/>
      <c r="L694" s="56"/>
      <c r="M694" s="66" t="str">
        <f aca="false">IF(OR($D694="",$F694=""),"",IF(COUNTIFS($D$7:$D694,$D694,$F$7:$F694,$F694)=1,1,0))</f>
        <v/>
      </c>
    </row>
    <row r="695" customFormat="false" ht="15" hidden="false" customHeight="true" outlineLevel="0" collapsed="false">
      <c r="A695" s="38"/>
      <c r="B695" s="38"/>
      <c r="C695" s="38"/>
      <c r="D695" s="38"/>
      <c r="E695" s="13"/>
      <c r="F695" s="13"/>
      <c r="G695" s="67"/>
      <c r="H695" s="67"/>
      <c r="I695" s="67"/>
      <c r="J695" s="67"/>
      <c r="K695" s="38"/>
      <c r="L695" s="38"/>
      <c r="M695" s="66" t="str">
        <f aca="false">IF(OR($D695="",$F695=""),"",IF(COUNTIFS($D$7:$D695,$D695,$F$7:$F695,$F695)=1,1,0))</f>
        <v/>
      </c>
    </row>
    <row r="696" customFormat="false" ht="15" hidden="false" customHeight="true" outlineLevel="0" collapsed="false">
      <c r="A696" s="56"/>
      <c r="B696" s="56"/>
      <c r="C696" s="56"/>
      <c r="D696" s="56"/>
      <c r="E696" s="16"/>
      <c r="F696" s="16"/>
      <c r="G696" s="67"/>
      <c r="H696" s="67"/>
      <c r="I696" s="67"/>
      <c r="J696" s="67"/>
      <c r="K696" s="56"/>
      <c r="L696" s="56"/>
      <c r="M696" s="66" t="str">
        <f aca="false">IF(OR($D696="",$F696=""),"",IF(COUNTIFS($D$7:$D696,$D696,$F$7:$F696,$F696)=1,1,0))</f>
        <v/>
      </c>
    </row>
    <row r="697" customFormat="false" ht="15" hidden="false" customHeight="true" outlineLevel="0" collapsed="false">
      <c r="A697" s="38"/>
      <c r="B697" s="38"/>
      <c r="C697" s="38"/>
      <c r="D697" s="38"/>
      <c r="E697" s="13"/>
      <c r="F697" s="13"/>
      <c r="G697" s="67"/>
      <c r="H697" s="67"/>
      <c r="I697" s="67"/>
      <c r="J697" s="67"/>
      <c r="K697" s="38"/>
      <c r="L697" s="38"/>
      <c r="M697" s="66" t="str">
        <f aca="false">IF(OR($D697="",$F697=""),"",IF(COUNTIFS($D$7:$D697,$D697,$F$7:$F697,$F697)=1,1,0))</f>
        <v/>
      </c>
    </row>
    <row r="698" customFormat="false" ht="15" hidden="false" customHeight="true" outlineLevel="0" collapsed="false">
      <c r="A698" s="56"/>
      <c r="B698" s="56"/>
      <c r="C698" s="56"/>
      <c r="D698" s="56"/>
      <c r="E698" s="16"/>
      <c r="F698" s="16"/>
      <c r="G698" s="67"/>
      <c r="H698" s="67"/>
      <c r="I698" s="67"/>
      <c r="J698" s="67"/>
      <c r="K698" s="56"/>
      <c r="L698" s="56"/>
      <c r="M698" s="66" t="str">
        <f aca="false">IF(OR($D698="",$F698=""),"",IF(COUNTIFS($D$7:$D698,$D698,$F$7:$F698,$F698)=1,1,0))</f>
        <v/>
      </c>
    </row>
    <row r="699" customFormat="false" ht="15" hidden="false" customHeight="true" outlineLevel="0" collapsed="false">
      <c r="A699" s="38"/>
      <c r="B699" s="38"/>
      <c r="C699" s="38"/>
      <c r="D699" s="38"/>
      <c r="E699" s="13"/>
      <c r="F699" s="13"/>
      <c r="G699" s="67"/>
      <c r="H699" s="67"/>
      <c r="I699" s="67"/>
      <c r="J699" s="67"/>
      <c r="K699" s="38"/>
      <c r="L699" s="38"/>
      <c r="M699" s="66" t="str">
        <f aca="false">IF(OR($D699="",$F699=""),"",IF(COUNTIFS($D$7:$D699,$D699,$F$7:$F699,$F699)=1,1,0))</f>
        <v/>
      </c>
    </row>
    <row r="700" customFormat="false" ht="15" hidden="false" customHeight="true" outlineLevel="0" collapsed="false">
      <c r="A700" s="56"/>
      <c r="B700" s="56"/>
      <c r="C700" s="56"/>
      <c r="D700" s="56"/>
      <c r="E700" s="16"/>
      <c r="F700" s="16"/>
      <c r="G700" s="67"/>
      <c r="H700" s="67"/>
      <c r="I700" s="67"/>
      <c r="J700" s="67"/>
      <c r="K700" s="56"/>
      <c r="L700" s="56"/>
      <c r="M700" s="66" t="str">
        <f aca="false">IF(OR($D700="",$F700=""),"",IF(COUNTIFS($D$7:$D700,$D700,$F$7:$F700,$F700)=1,1,0))</f>
        <v/>
      </c>
    </row>
    <row r="701" customFormat="false" ht="15" hidden="false" customHeight="true" outlineLevel="0" collapsed="false">
      <c r="A701" s="38"/>
      <c r="B701" s="38"/>
      <c r="C701" s="38"/>
      <c r="D701" s="38"/>
      <c r="E701" s="13"/>
      <c r="F701" s="13"/>
      <c r="G701" s="67"/>
      <c r="H701" s="67"/>
      <c r="I701" s="67"/>
      <c r="J701" s="67"/>
      <c r="K701" s="38"/>
      <c r="L701" s="38"/>
      <c r="M701" s="66" t="str">
        <f aca="false">IF(OR($D701="",$F701=""),"",IF(COUNTIFS($D$7:$D701,$D701,$F$7:$F701,$F701)=1,1,0))</f>
        <v/>
      </c>
    </row>
    <row r="702" customFormat="false" ht="15" hidden="false" customHeight="true" outlineLevel="0" collapsed="false">
      <c r="A702" s="56"/>
      <c r="B702" s="56"/>
      <c r="C702" s="56"/>
      <c r="D702" s="56"/>
      <c r="E702" s="16"/>
      <c r="F702" s="16"/>
      <c r="G702" s="67"/>
      <c r="H702" s="67"/>
      <c r="I702" s="67"/>
      <c r="J702" s="67"/>
      <c r="K702" s="56"/>
      <c r="L702" s="56"/>
      <c r="M702" s="66" t="str">
        <f aca="false">IF(OR($D702="",$F702=""),"",IF(COUNTIFS($D$7:$D702,$D702,$F$7:$F702,$F702)=1,1,0))</f>
        <v/>
      </c>
    </row>
    <row r="703" customFormat="false" ht="15" hidden="false" customHeight="true" outlineLevel="0" collapsed="false">
      <c r="A703" s="38"/>
      <c r="B703" s="38"/>
      <c r="C703" s="38"/>
      <c r="D703" s="38"/>
      <c r="E703" s="13"/>
      <c r="F703" s="13"/>
      <c r="G703" s="67"/>
      <c r="H703" s="67"/>
      <c r="I703" s="67"/>
      <c r="J703" s="67"/>
      <c r="K703" s="38"/>
      <c r="L703" s="38"/>
      <c r="M703" s="66" t="str">
        <f aca="false">IF(OR($D703="",$F703=""),"",IF(COUNTIFS($D$7:$D703,$D703,$F$7:$F703,$F703)=1,1,0))</f>
        <v/>
      </c>
    </row>
    <row r="704" customFormat="false" ht="15" hidden="false" customHeight="true" outlineLevel="0" collapsed="false">
      <c r="A704" s="56"/>
      <c r="B704" s="56"/>
      <c r="C704" s="56"/>
      <c r="D704" s="56"/>
      <c r="E704" s="16"/>
      <c r="F704" s="16"/>
      <c r="G704" s="67"/>
      <c r="H704" s="67"/>
      <c r="I704" s="67"/>
      <c r="J704" s="67"/>
      <c r="K704" s="56"/>
      <c r="L704" s="56"/>
      <c r="M704" s="66" t="str">
        <f aca="false">IF(OR($D704="",$F704=""),"",IF(COUNTIFS($D$7:$D704,$D704,$F$7:$F704,$F704)=1,1,0))</f>
        <v/>
      </c>
    </row>
    <row r="705" customFormat="false" ht="15" hidden="false" customHeight="true" outlineLevel="0" collapsed="false">
      <c r="A705" s="38"/>
      <c r="B705" s="38"/>
      <c r="C705" s="38"/>
      <c r="D705" s="38"/>
      <c r="E705" s="13"/>
      <c r="F705" s="13"/>
      <c r="G705" s="67"/>
      <c r="H705" s="67"/>
      <c r="I705" s="67"/>
      <c r="J705" s="67"/>
      <c r="K705" s="38"/>
      <c r="L705" s="38"/>
      <c r="M705" s="66" t="str">
        <f aca="false">IF(OR($D705="",$F705=""),"",IF(COUNTIFS($D$7:$D705,$D705,$F$7:$F705,$F705)=1,1,0))</f>
        <v/>
      </c>
    </row>
    <row r="706" customFormat="false" ht="15" hidden="false" customHeight="true" outlineLevel="0" collapsed="false">
      <c r="A706" s="56"/>
      <c r="B706" s="56"/>
      <c r="C706" s="56"/>
      <c r="D706" s="56"/>
      <c r="E706" s="16"/>
      <c r="F706" s="16"/>
      <c r="G706" s="67"/>
      <c r="H706" s="67"/>
      <c r="I706" s="67"/>
      <c r="J706" s="67"/>
      <c r="K706" s="56"/>
      <c r="L706" s="56"/>
      <c r="M706" s="66" t="str">
        <f aca="false">IF(OR($D706="",$F706=""),"",IF(COUNTIFS($D$7:$D706,$D706,$F$7:$F706,$F706)=1,1,0))</f>
        <v/>
      </c>
    </row>
    <row r="707" customFormat="false" ht="15" hidden="false" customHeight="true" outlineLevel="0" collapsed="false">
      <c r="A707" s="38"/>
      <c r="B707" s="38"/>
      <c r="C707" s="38"/>
      <c r="D707" s="38"/>
      <c r="E707" s="13"/>
      <c r="F707" s="13"/>
      <c r="G707" s="67"/>
      <c r="H707" s="67"/>
      <c r="I707" s="67"/>
      <c r="J707" s="67"/>
      <c r="K707" s="38"/>
      <c r="L707" s="38"/>
      <c r="M707" s="66" t="str">
        <f aca="false">IF(OR($D707="",$F707=""),"",IF(COUNTIFS($D$7:$D707,$D707,$F$7:$F707,$F707)=1,1,0))</f>
        <v/>
      </c>
    </row>
    <row r="708" customFormat="false" ht="15" hidden="false" customHeight="true" outlineLevel="0" collapsed="false">
      <c r="A708" s="56"/>
      <c r="B708" s="56"/>
      <c r="C708" s="56"/>
      <c r="D708" s="56"/>
      <c r="E708" s="16"/>
      <c r="F708" s="16"/>
      <c r="G708" s="67"/>
      <c r="H708" s="67"/>
      <c r="I708" s="67"/>
      <c r="J708" s="67"/>
      <c r="K708" s="56"/>
      <c r="L708" s="56"/>
      <c r="M708" s="66" t="str">
        <f aca="false">IF(OR($D708="",$F708=""),"",IF(COUNTIFS($D$7:$D708,$D708,$F$7:$F708,$F708)=1,1,0))</f>
        <v/>
      </c>
    </row>
    <row r="709" customFormat="false" ht="15" hidden="false" customHeight="true" outlineLevel="0" collapsed="false">
      <c r="A709" s="38"/>
      <c r="B709" s="38"/>
      <c r="C709" s="38"/>
      <c r="D709" s="38"/>
      <c r="E709" s="13"/>
      <c r="F709" s="13"/>
      <c r="G709" s="67"/>
      <c r="H709" s="67"/>
      <c r="I709" s="67"/>
      <c r="J709" s="67"/>
      <c r="K709" s="38"/>
      <c r="L709" s="38"/>
      <c r="M709" s="66" t="str">
        <f aca="false">IF(OR($D709="",$F709=""),"",IF(COUNTIFS($D$7:$D709,$D709,$F$7:$F709,$F709)=1,1,0))</f>
        <v/>
      </c>
    </row>
    <row r="710" customFormat="false" ht="15" hidden="false" customHeight="true" outlineLevel="0" collapsed="false">
      <c r="A710" s="56"/>
      <c r="B710" s="56"/>
      <c r="C710" s="56"/>
      <c r="D710" s="56"/>
      <c r="E710" s="16"/>
      <c r="F710" s="16"/>
      <c r="G710" s="67"/>
      <c r="H710" s="67"/>
      <c r="I710" s="67"/>
      <c r="J710" s="67"/>
      <c r="K710" s="56"/>
      <c r="L710" s="56"/>
      <c r="M710" s="66" t="str">
        <f aca="false">IF(OR($D710="",$F710=""),"",IF(COUNTIFS($D$7:$D710,$D710,$F$7:$F710,$F710)=1,1,0))</f>
        <v/>
      </c>
    </row>
    <row r="711" customFormat="false" ht="15" hidden="false" customHeight="true" outlineLevel="0" collapsed="false">
      <c r="A711" s="38"/>
      <c r="B711" s="38"/>
      <c r="C711" s="38"/>
      <c r="D711" s="38"/>
      <c r="E711" s="13"/>
      <c r="F711" s="13"/>
      <c r="G711" s="67"/>
      <c r="H711" s="67"/>
      <c r="I711" s="67"/>
      <c r="J711" s="67"/>
      <c r="K711" s="38"/>
      <c r="L711" s="38"/>
      <c r="M711" s="66" t="str">
        <f aca="false">IF(OR($D711="",$F711=""),"",IF(COUNTIFS($D$7:$D711,$D711,$F$7:$F711,$F711)=1,1,0))</f>
        <v/>
      </c>
    </row>
    <row r="712" customFormat="false" ht="15" hidden="false" customHeight="true" outlineLevel="0" collapsed="false">
      <c r="A712" s="56"/>
      <c r="B712" s="56"/>
      <c r="C712" s="56"/>
      <c r="D712" s="56"/>
      <c r="E712" s="16"/>
      <c r="F712" s="16"/>
      <c r="G712" s="67"/>
      <c r="H712" s="67"/>
      <c r="I712" s="67"/>
      <c r="J712" s="67"/>
      <c r="K712" s="56"/>
      <c r="L712" s="56"/>
      <c r="M712" s="66" t="str">
        <f aca="false">IF(OR($D712="",$F712=""),"",IF(COUNTIFS($D$7:$D712,$D712,$F$7:$F712,$F712)=1,1,0))</f>
        <v/>
      </c>
    </row>
    <row r="713" customFormat="false" ht="15" hidden="false" customHeight="true" outlineLevel="0" collapsed="false">
      <c r="A713" s="38"/>
      <c r="B713" s="38"/>
      <c r="C713" s="38"/>
      <c r="D713" s="38"/>
      <c r="E713" s="13"/>
      <c r="F713" s="13"/>
      <c r="G713" s="67"/>
      <c r="H713" s="67"/>
      <c r="I713" s="67"/>
      <c r="J713" s="67"/>
      <c r="K713" s="38"/>
      <c r="L713" s="38"/>
      <c r="M713" s="66" t="str">
        <f aca="false">IF(OR($D713="",$F713=""),"",IF(COUNTIFS($D$7:$D713,$D713,$F$7:$F713,$F713)=1,1,0))</f>
        <v/>
      </c>
    </row>
    <row r="714" customFormat="false" ht="15" hidden="false" customHeight="true" outlineLevel="0" collapsed="false">
      <c r="A714" s="56"/>
      <c r="B714" s="56"/>
      <c r="C714" s="56"/>
      <c r="D714" s="56"/>
      <c r="E714" s="16"/>
      <c r="F714" s="16"/>
      <c r="G714" s="67"/>
      <c r="H714" s="67"/>
      <c r="I714" s="67"/>
      <c r="J714" s="67"/>
      <c r="K714" s="56"/>
      <c r="L714" s="56"/>
      <c r="M714" s="66" t="str">
        <f aca="false">IF(OR($D714="",$F714=""),"",IF(COUNTIFS($D$7:$D714,$D714,$F$7:$F714,$F714)=1,1,0))</f>
        <v/>
      </c>
    </row>
    <row r="715" customFormat="false" ht="15" hidden="false" customHeight="true" outlineLevel="0" collapsed="false">
      <c r="A715" s="38"/>
      <c r="B715" s="38"/>
      <c r="C715" s="38"/>
      <c r="D715" s="38"/>
      <c r="E715" s="13"/>
      <c r="F715" s="13"/>
      <c r="G715" s="67"/>
      <c r="H715" s="67"/>
      <c r="I715" s="67"/>
      <c r="J715" s="67"/>
      <c r="K715" s="38"/>
      <c r="L715" s="38"/>
      <c r="M715" s="66" t="str">
        <f aca="false">IF(OR($D715="",$F715=""),"",IF(COUNTIFS($D$7:$D715,$D715,$F$7:$F715,$F715)=1,1,0))</f>
        <v/>
      </c>
    </row>
    <row r="716" customFormat="false" ht="15" hidden="false" customHeight="true" outlineLevel="0" collapsed="false">
      <c r="A716" s="56"/>
      <c r="B716" s="56"/>
      <c r="C716" s="56"/>
      <c r="D716" s="56"/>
      <c r="E716" s="16"/>
      <c r="F716" s="16"/>
      <c r="G716" s="67"/>
      <c r="H716" s="67"/>
      <c r="I716" s="67"/>
      <c r="J716" s="67"/>
      <c r="K716" s="56"/>
      <c r="L716" s="56"/>
      <c r="M716" s="66" t="str">
        <f aca="false">IF(OR($D716="",$F716=""),"",IF(COUNTIFS($D$7:$D716,$D716,$F$7:$F716,$F716)=1,1,0))</f>
        <v/>
      </c>
    </row>
    <row r="717" customFormat="false" ht="15" hidden="false" customHeight="true" outlineLevel="0" collapsed="false">
      <c r="A717" s="38"/>
      <c r="B717" s="38"/>
      <c r="C717" s="38"/>
      <c r="D717" s="38"/>
      <c r="E717" s="13"/>
      <c r="F717" s="13"/>
      <c r="G717" s="67"/>
      <c r="H717" s="67"/>
      <c r="I717" s="67"/>
      <c r="J717" s="67"/>
      <c r="K717" s="38"/>
      <c r="L717" s="38"/>
      <c r="M717" s="66" t="str">
        <f aca="false">IF(OR($D717="",$F717=""),"",IF(COUNTIFS($D$7:$D717,$D717,$F$7:$F717,$F717)=1,1,0))</f>
        <v/>
      </c>
    </row>
    <row r="718" customFormat="false" ht="15" hidden="false" customHeight="true" outlineLevel="0" collapsed="false">
      <c r="A718" s="56"/>
      <c r="B718" s="56"/>
      <c r="C718" s="56"/>
      <c r="D718" s="56"/>
      <c r="E718" s="16"/>
      <c r="F718" s="16"/>
      <c r="G718" s="67"/>
      <c r="H718" s="67"/>
      <c r="I718" s="67"/>
      <c r="J718" s="67"/>
      <c r="K718" s="56"/>
      <c r="L718" s="56"/>
      <c r="M718" s="66" t="str">
        <f aca="false">IF(OR($D718="",$F718=""),"",IF(COUNTIFS($D$7:$D718,$D718,$F$7:$F718,$F718)=1,1,0))</f>
        <v/>
      </c>
    </row>
    <row r="719" customFormat="false" ht="15" hidden="false" customHeight="true" outlineLevel="0" collapsed="false">
      <c r="A719" s="38"/>
      <c r="B719" s="38"/>
      <c r="C719" s="38"/>
      <c r="D719" s="38"/>
      <c r="E719" s="13"/>
      <c r="F719" s="13"/>
      <c r="G719" s="67"/>
      <c r="H719" s="67"/>
      <c r="I719" s="67"/>
      <c r="J719" s="67"/>
      <c r="K719" s="38"/>
      <c r="L719" s="38"/>
      <c r="M719" s="66" t="str">
        <f aca="false">IF(OR($D719="",$F719=""),"",IF(COUNTIFS($D$7:$D719,$D719,$F$7:$F719,$F719)=1,1,0))</f>
        <v/>
      </c>
    </row>
    <row r="720" customFormat="false" ht="15" hidden="false" customHeight="true" outlineLevel="0" collapsed="false">
      <c r="A720" s="56"/>
      <c r="B720" s="56"/>
      <c r="C720" s="56"/>
      <c r="D720" s="56"/>
      <c r="E720" s="16"/>
      <c r="F720" s="16"/>
      <c r="G720" s="67"/>
      <c r="H720" s="67"/>
      <c r="I720" s="67"/>
      <c r="J720" s="67"/>
      <c r="K720" s="56"/>
      <c r="L720" s="56"/>
      <c r="M720" s="66" t="str">
        <f aca="false">IF(OR($D720="",$F720=""),"",IF(COUNTIFS($D$7:$D720,$D720,$F$7:$F720,$F720)=1,1,0))</f>
        <v/>
      </c>
    </row>
    <row r="721" customFormat="false" ht="15" hidden="false" customHeight="true" outlineLevel="0" collapsed="false">
      <c r="A721" s="38"/>
      <c r="B721" s="38"/>
      <c r="C721" s="38"/>
      <c r="D721" s="38"/>
      <c r="E721" s="13"/>
      <c r="F721" s="13"/>
      <c r="G721" s="67"/>
      <c r="H721" s="67"/>
      <c r="I721" s="67"/>
      <c r="J721" s="67"/>
      <c r="K721" s="38"/>
      <c r="L721" s="38"/>
      <c r="M721" s="66" t="str">
        <f aca="false">IF(OR($D721="",$F721=""),"",IF(COUNTIFS($D$7:$D721,$D721,$F$7:$F721,$F721)=1,1,0))</f>
        <v/>
      </c>
    </row>
    <row r="722" customFormat="false" ht="15" hidden="false" customHeight="true" outlineLevel="0" collapsed="false">
      <c r="A722" s="56"/>
      <c r="B722" s="56"/>
      <c r="C722" s="56"/>
      <c r="D722" s="56"/>
      <c r="E722" s="16"/>
      <c r="F722" s="16"/>
      <c r="G722" s="67"/>
      <c r="H722" s="67"/>
      <c r="I722" s="67"/>
      <c r="J722" s="67"/>
      <c r="K722" s="56"/>
      <c r="L722" s="56"/>
      <c r="M722" s="66" t="str">
        <f aca="false">IF(OR($D722="",$F722=""),"",IF(COUNTIFS($D$7:$D722,$D722,$F$7:$F722,$F722)=1,1,0))</f>
        <v/>
      </c>
    </row>
    <row r="723" customFormat="false" ht="15" hidden="false" customHeight="true" outlineLevel="0" collapsed="false">
      <c r="A723" s="38"/>
      <c r="B723" s="38"/>
      <c r="C723" s="38"/>
      <c r="D723" s="38"/>
      <c r="E723" s="13"/>
      <c r="F723" s="13"/>
      <c r="G723" s="67"/>
      <c r="H723" s="67"/>
      <c r="I723" s="67"/>
      <c r="J723" s="67"/>
      <c r="K723" s="38"/>
      <c r="L723" s="38"/>
      <c r="M723" s="66" t="str">
        <f aca="false">IF(OR($D723="",$F723=""),"",IF(COUNTIFS($D$7:$D723,$D723,$F$7:$F723,$F723)=1,1,0))</f>
        <v/>
      </c>
    </row>
    <row r="724" customFormat="false" ht="15" hidden="false" customHeight="true" outlineLevel="0" collapsed="false">
      <c r="A724" s="56"/>
      <c r="B724" s="56"/>
      <c r="C724" s="56"/>
      <c r="D724" s="56"/>
      <c r="E724" s="16"/>
      <c r="F724" s="16"/>
      <c r="G724" s="67"/>
      <c r="H724" s="67"/>
      <c r="I724" s="67"/>
      <c r="J724" s="67"/>
      <c r="K724" s="56"/>
      <c r="L724" s="56"/>
      <c r="M724" s="66" t="str">
        <f aca="false">IF(OR($D724="",$F724=""),"",IF(COUNTIFS($D$7:$D724,$D724,$F$7:$F724,$F724)=1,1,0))</f>
        <v/>
      </c>
    </row>
    <row r="725" customFormat="false" ht="15" hidden="false" customHeight="true" outlineLevel="0" collapsed="false">
      <c r="A725" s="38"/>
      <c r="B725" s="38"/>
      <c r="C725" s="38"/>
      <c r="D725" s="38"/>
      <c r="E725" s="13"/>
      <c r="F725" s="13"/>
      <c r="G725" s="67"/>
      <c r="H725" s="67"/>
      <c r="I725" s="67"/>
      <c r="J725" s="67"/>
      <c r="K725" s="38"/>
      <c r="L725" s="38"/>
      <c r="M725" s="66" t="str">
        <f aca="false">IF(OR($D725="",$F725=""),"",IF(COUNTIFS($D$7:$D725,$D725,$F$7:$F725,$F725)=1,1,0))</f>
        <v/>
      </c>
    </row>
    <row r="726" customFormat="false" ht="15" hidden="false" customHeight="true" outlineLevel="0" collapsed="false">
      <c r="A726" s="56"/>
      <c r="B726" s="56"/>
      <c r="C726" s="56"/>
      <c r="D726" s="56"/>
      <c r="E726" s="16"/>
      <c r="F726" s="16"/>
      <c r="G726" s="67"/>
      <c r="H726" s="67"/>
      <c r="I726" s="67"/>
      <c r="J726" s="67"/>
      <c r="K726" s="56"/>
      <c r="L726" s="56"/>
      <c r="M726" s="66" t="str">
        <f aca="false">IF(OR($D726="",$F726=""),"",IF(COUNTIFS($D$7:$D726,$D726,$F$7:$F726,$F726)=1,1,0))</f>
        <v/>
      </c>
    </row>
    <row r="727" customFormat="false" ht="15" hidden="false" customHeight="true" outlineLevel="0" collapsed="false">
      <c r="A727" s="38"/>
      <c r="B727" s="38"/>
      <c r="C727" s="38"/>
      <c r="D727" s="38"/>
      <c r="E727" s="13"/>
      <c r="F727" s="13"/>
      <c r="G727" s="67"/>
      <c r="H727" s="67"/>
      <c r="I727" s="67"/>
      <c r="J727" s="67"/>
      <c r="K727" s="38"/>
      <c r="L727" s="38"/>
      <c r="M727" s="66" t="str">
        <f aca="false">IF(OR($D727="",$F727=""),"",IF(COUNTIFS($D$7:$D727,$D727,$F$7:$F727,$F727)=1,1,0))</f>
        <v/>
      </c>
    </row>
    <row r="728" customFormat="false" ht="15" hidden="false" customHeight="true" outlineLevel="0" collapsed="false">
      <c r="A728" s="56"/>
      <c r="B728" s="56"/>
      <c r="C728" s="56"/>
      <c r="D728" s="56"/>
      <c r="E728" s="16"/>
      <c r="F728" s="16"/>
      <c r="G728" s="67"/>
      <c r="H728" s="67"/>
      <c r="I728" s="67"/>
      <c r="J728" s="67"/>
      <c r="K728" s="56"/>
      <c r="L728" s="56"/>
      <c r="M728" s="66" t="str">
        <f aca="false">IF(OR($D728="",$F728=""),"",IF(COUNTIFS($D$7:$D728,$D728,$F$7:$F728,$F728)=1,1,0))</f>
        <v/>
      </c>
    </row>
    <row r="729" customFormat="false" ht="15" hidden="false" customHeight="true" outlineLevel="0" collapsed="false">
      <c r="A729" s="38"/>
      <c r="B729" s="38"/>
      <c r="C729" s="38"/>
      <c r="D729" s="38"/>
      <c r="E729" s="13"/>
      <c r="F729" s="13"/>
      <c r="G729" s="67"/>
      <c r="H729" s="67"/>
      <c r="I729" s="67"/>
      <c r="J729" s="67"/>
      <c r="K729" s="38"/>
      <c r="L729" s="38"/>
      <c r="M729" s="66" t="str">
        <f aca="false">IF(OR($D729="",$F729=""),"",IF(COUNTIFS($D$7:$D729,$D729,$F$7:$F729,$F729)=1,1,0))</f>
        <v/>
      </c>
    </row>
    <row r="730" customFormat="false" ht="15" hidden="false" customHeight="true" outlineLevel="0" collapsed="false">
      <c r="A730" s="56"/>
      <c r="B730" s="56"/>
      <c r="C730" s="56"/>
      <c r="D730" s="56"/>
      <c r="E730" s="16"/>
      <c r="F730" s="16"/>
      <c r="G730" s="67"/>
      <c r="H730" s="67"/>
      <c r="I730" s="67"/>
      <c r="J730" s="67"/>
      <c r="K730" s="56"/>
      <c r="L730" s="56"/>
      <c r="M730" s="66" t="str">
        <f aca="false">IF(OR($D730="",$F730=""),"",IF(COUNTIFS($D$7:$D730,$D730,$F$7:$F730,$F730)=1,1,0))</f>
        <v/>
      </c>
    </row>
    <row r="731" customFormat="false" ht="15" hidden="false" customHeight="true" outlineLevel="0" collapsed="false">
      <c r="A731" s="38"/>
      <c r="B731" s="38"/>
      <c r="C731" s="38"/>
      <c r="D731" s="38"/>
      <c r="E731" s="13"/>
      <c r="F731" s="13"/>
      <c r="G731" s="67"/>
      <c r="H731" s="67"/>
      <c r="I731" s="67"/>
      <c r="J731" s="67"/>
      <c r="K731" s="38"/>
      <c r="L731" s="38"/>
      <c r="M731" s="66" t="str">
        <f aca="false">IF(OR($D731="",$F731=""),"",IF(COUNTIFS($D$7:$D731,$D731,$F$7:$F731,$F731)=1,1,0))</f>
        <v/>
      </c>
    </row>
    <row r="732" customFormat="false" ht="15" hidden="false" customHeight="true" outlineLevel="0" collapsed="false">
      <c r="A732" s="56"/>
      <c r="B732" s="56"/>
      <c r="C732" s="56"/>
      <c r="D732" s="56"/>
      <c r="E732" s="16"/>
      <c r="F732" s="16"/>
      <c r="G732" s="67"/>
      <c r="H732" s="67"/>
      <c r="I732" s="67"/>
      <c r="J732" s="67"/>
      <c r="K732" s="56"/>
      <c r="L732" s="56"/>
      <c r="M732" s="66" t="str">
        <f aca="false">IF(OR($D732="",$F732=""),"",IF(COUNTIFS($D$7:$D732,$D732,$F$7:$F732,$F732)=1,1,0))</f>
        <v/>
      </c>
    </row>
    <row r="733" customFormat="false" ht="15" hidden="false" customHeight="true" outlineLevel="0" collapsed="false">
      <c r="A733" s="38"/>
      <c r="B733" s="38"/>
      <c r="C733" s="38"/>
      <c r="D733" s="38"/>
      <c r="E733" s="13"/>
      <c r="F733" s="13"/>
      <c r="G733" s="67"/>
      <c r="H733" s="67"/>
      <c r="I733" s="67"/>
      <c r="J733" s="67"/>
      <c r="K733" s="38"/>
      <c r="L733" s="38"/>
      <c r="M733" s="66" t="str">
        <f aca="false">IF(OR($D733="",$F733=""),"",IF(COUNTIFS($D$7:$D733,$D733,$F$7:$F733,$F733)=1,1,0))</f>
        <v/>
      </c>
    </row>
    <row r="734" customFormat="false" ht="15" hidden="false" customHeight="true" outlineLevel="0" collapsed="false">
      <c r="A734" s="56"/>
      <c r="B734" s="56"/>
      <c r="C734" s="56"/>
      <c r="D734" s="56"/>
      <c r="E734" s="16"/>
      <c r="F734" s="16"/>
      <c r="G734" s="67"/>
      <c r="H734" s="67"/>
      <c r="I734" s="67"/>
      <c r="J734" s="67"/>
      <c r="K734" s="56"/>
      <c r="L734" s="56"/>
      <c r="M734" s="66" t="str">
        <f aca="false">IF(OR($D734="",$F734=""),"",IF(COUNTIFS($D$7:$D734,$D734,$F$7:$F734,$F734)=1,1,0))</f>
        <v/>
      </c>
    </row>
    <row r="735" customFormat="false" ht="15" hidden="false" customHeight="true" outlineLevel="0" collapsed="false">
      <c r="A735" s="38"/>
      <c r="B735" s="38"/>
      <c r="C735" s="38"/>
      <c r="D735" s="38"/>
      <c r="E735" s="13"/>
      <c r="F735" s="13"/>
      <c r="G735" s="67"/>
      <c r="H735" s="67"/>
      <c r="I735" s="67"/>
      <c r="J735" s="67"/>
      <c r="K735" s="38"/>
      <c r="L735" s="38"/>
      <c r="M735" s="66" t="str">
        <f aca="false">IF(OR($D735="",$F735=""),"",IF(COUNTIFS($D$7:$D735,$D735,$F$7:$F735,$F735)=1,1,0))</f>
        <v/>
      </c>
    </row>
    <row r="736" customFormat="false" ht="15" hidden="false" customHeight="true" outlineLevel="0" collapsed="false">
      <c r="A736" s="56"/>
      <c r="B736" s="56"/>
      <c r="C736" s="56"/>
      <c r="D736" s="56"/>
      <c r="E736" s="16"/>
      <c r="F736" s="16"/>
      <c r="G736" s="67"/>
      <c r="H736" s="67"/>
      <c r="I736" s="67"/>
      <c r="J736" s="67"/>
      <c r="K736" s="56"/>
      <c r="L736" s="56"/>
      <c r="M736" s="66" t="str">
        <f aca="false">IF(OR($D736="",$F736=""),"",IF(COUNTIFS($D$7:$D736,$D736,$F$7:$F736,$F736)=1,1,0))</f>
        <v/>
      </c>
    </row>
    <row r="737" customFormat="false" ht="15" hidden="false" customHeight="true" outlineLevel="0" collapsed="false">
      <c r="A737" s="38"/>
      <c r="B737" s="38"/>
      <c r="C737" s="38"/>
      <c r="D737" s="38"/>
      <c r="E737" s="13"/>
      <c r="F737" s="13"/>
      <c r="G737" s="67"/>
      <c r="H737" s="67"/>
      <c r="I737" s="67"/>
      <c r="J737" s="67"/>
      <c r="K737" s="38"/>
      <c r="L737" s="38"/>
      <c r="M737" s="66" t="str">
        <f aca="false">IF(OR($D737="",$F737=""),"",IF(COUNTIFS($D$7:$D737,$D737,$F$7:$F737,$F737)=1,1,0))</f>
        <v/>
      </c>
    </row>
    <row r="738" customFormat="false" ht="15" hidden="false" customHeight="true" outlineLevel="0" collapsed="false">
      <c r="A738" s="56"/>
      <c r="B738" s="56"/>
      <c r="C738" s="56"/>
      <c r="D738" s="56"/>
      <c r="E738" s="16"/>
      <c r="F738" s="16"/>
      <c r="G738" s="67"/>
      <c r="H738" s="67"/>
      <c r="I738" s="67"/>
      <c r="J738" s="67"/>
      <c r="K738" s="56"/>
      <c r="L738" s="56"/>
      <c r="M738" s="66" t="str">
        <f aca="false">IF(OR($D738="",$F738=""),"",IF(COUNTIFS($D$7:$D738,$D738,$F$7:$F738,$F738)=1,1,0))</f>
        <v/>
      </c>
    </row>
    <row r="739" customFormat="false" ht="15" hidden="false" customHeight="true" outlineLevel="0" collapsed="false">
      <c r="A739" s="38"/>
      <c r="B739" s="38"/>
      <c r="C739" s="38"/>
      <c r="D739" s="38"/>
      <c r="E739" s="13"/>
      <c r="F739" s="13"/>
      <c r="G739" s="67"/>
      <c r="H739" s="67"/>
      <c r="I739" s="67"/>
      <c r="J739" s="67"/>
      <c r="K739" s="38"/>
      <c r="L739" s="38"/>
      <c r="M739" s="66" t="str">
        <f aca="false">IF(OR($D739="",$F739=""),"",IF(COUNTIFS($D$7:$D739,$D739,$F$7:$F739,$F739)=1,1,0))</f>
        <v/>
      </c>
    </row>
    <row r="740" customFormat="false" ht="15" hidden="false" customHeight="true" outlineLevel="0" collapsed="false">
      <c r="A740" s="56"/>
      <c r="B740" s="56"/>
      <c r="C740" s="56"/>
      <c r="D740" s="56"/>
      <c r="E740" s="16"/>
      <c r="F740" s="16"/>
      <c r="G740" s="67"/>
      <c r="H740" s="67"/>
      <c r="I740" s="67"/>
      <c r="J740" s="67"/>
      <c r="K740" s="56"/>
      <c r="L740" s="56"/>
      <c r="M740" s="66" t="str">
        <f aca="false">IF(OR($D740="",$F740=""),"",IF(COUNTIFS($D$7:$D740,$D740,$F$7:$F740,$F740)=1,1,0))</f>
        <v/>
      </c>
    </row>
    <row r="741" customFormat="false" ht="15" hidden="false" customHeight="true" outlineLevel="0" collapsed="false">
      <c r="A741" s="38"/>
      <c r="B741" s="38"/>
      <c r="C741" s="38"/>
      <c r="D741" s="38"/>
      <c r="E741" s="13"/>
      <c r="F741" s="13"/>
      <c r="G741" s="67"/>
      <c r="H741" s="67"/>
      <c r="I741" s="67"/>
      <c r="J741" s="67"/>
      <c r="K741" s="38"/>
      <c r="L741" s="38"/>
      <c r="M741" s="66" t="str">
        <f aca="false">IF(OR($D741="",$F741=""),"",IF(COUNTIFS($D$7:$D741,$D741,$F$7:$F741,$F741)=1,1,0))</f>
        <v/>
      </c>
    </row>
    <row r="742" customFormat="false" ht="15" hidden="false" customHeight="true" outlineLevel="0" collapsed="false">
      <c r="A742" s="56"/>
      <c r="B742" s="56"/>
      <c r="C742" s="56"/>
      <c r="D742" s="56"/>
      <c r="E742" s="16"/>
      <c r="F742" s="16"/>
      <c r="G742" s="67"/>
      <c r="H742" s="67"/>
      <c r="I742" s="67"/>
      <c r="J742" s="67"/>
      <c r="K742" s="56"/>
      <c r="L742" s="56"/>
      <c r="M742" s="66" t="str">
        <f aca="false">IF(OR($D742="",$F742=""),"",IF(COUNTIFS($D$7:$D742,$D742,$F$7:$F742,$F742)=1,1,0))</f>
        <v/>
      </c>
    </row>
    <row r="743" customFormat="false" ht="15" hidden="false" customHeight="true" outlineLevel="0" collapsed="false">
      <c r="A743" s="38"/>
      <c r="B743" s="38"/>
      <c r="C743" s="38"/>
      <c r="D743" s="38"/>
      <c r="E743" s="13"/>
      <c r="F743" s="13"/>
      <c r="G743" s="67"/>
      <c r="H743" s="67"/>
      <c r="I743" s="67"/>
      <c r="J743" s="67"/>
      <c r="K743" s="38"/>
      <c r="L743" s="38"/>
      <c r="M743" s="66" t="str">
        <f aca="false">IF(OR($D743="",$F743=""),"",IF(COUNTIFS($D$7:$D743,$D743,$F$7:$F743,$F743)=1,1,0))</f>
        <v/>
      </c>
    </row>
    <row r="744" customFormat="false" ht="15" hidden="false" customHeight="true" outlineLevel="0" collapsed="false">
      <c r="A744" s="56"/>
      <c r="B744" s="56"/>
      <c r="C744" s="56"/>
      <c r="D744" s="56"/>
      <c r="E744" s="16"/>
      <c r="F744" s="16"/>
      <c r="G744" s="67"/>
      <c r="H744" s="67"/>
      <c r="I744" s="67"/>
      <c r="J744" s="67"/>
      <c r="K744" s="56"/>
      <c r="L744" s="56"/>
      <c r="M744" s="66" t="str">
        <f aca="false">IF(OR($D744="",$F744=""),"",IF(COUNTIFS($D$7:$D744,$D744,$F$7:$F744,$F744)=1,1,0))</f>
        <v/>
      </c>
    </row>
    <row r="745" customFormat="false" ht="15" hidden="false" customHeight="true" outlineLevel="0" collapsed="false">
      <c r="A745" s="38"/>
      <c r="B745" s="38"/>
      <c r="C745" s="38"/>
      <c r="D745" s="38"/>
      <c r="E745" s="13"/>
      <c r="F745" s="13"/>
      <c r="G745" s="67"/>
      <c r="H745" s="67"/>
      <c r="I745" s="67"/>
      <c r="J745" s="67"/>
      <c r="K745" s="38"/>
      <c r="L745" s="38"/>
      <c r="M745" s="66" t="str">
        <f aca="false">IF(OR($D745="",$F745=""),"",IF(COUNTIFS($D$7:$D745,$D745,$F$7:$F745,$F745)=1,1,0))</f>
        <v/>
      </c>
    </row>
    <row r="746" customFormat="false" ht="15" hidden="false" customHeight="true" outlineLevel="0" collapsed="false">
      <c r="A746" s="56"/>
      <c r="B746" s="56"/>
      <c r="C746" s="56"/>
      <c r="D746" s="56"/>
      <c r="E746" s="16"/>
      <c r="F746" s="16"/>
      <c r="G746" s="67"/>
      <c r="H746" s="67"/>
      <c r="I746" s="67"/>
      <c r="J746" s="67"/>
      <c r="K746" s="56"/>
      <c r="L746" s="56"/>
      <c r="M746" s="66" t="str">
        <f aca="false">IF(OR($D746="",$F746=""),"",IF(COUNTIFS($D$7:$D746,$D746,$F$7:$F746,$F746)=1,1,0))</f>
        <v/>
      </c>
    </row>
    <row r="747" customFormat="false" ht="15" hidden="false" customHeight="true" outlineLevel="0" collapsed="false">
      <c r="A747" s="38"/>
      <c r="B747" s="38"/>
      <c r="C747" s="38"/>
      <c r="D747" s="38"/>
      <c r="E747" s="13"/>
      <c r="F747" s="13"/>
      <c r="G747" s="67"/>
      <c r="H747" s="67"/>
      <c r="I747" s="67"/>
      <c r="J747" s="67"/>
      <c r="K747" s="38"/>
      <c r="L747" s="38"/>
      <c r="M747" s="66" t="str">
        <f aca="false">IF(OR($D747="",$F747=""),"",IF(COUNTIFS($D$7:$D747,$D747,$F$7:$F747,$F747)=1,1,0))</f>
        <v/>
      </c>
    </row>
    <row r="748" customFormat="false" ht="15" hidden="false" customHeight="true" outlineLevel="0" collapsed="false">
      <c r="A748" s="56"/>
      <c r="B748" s="56"/>
      <c r="C748" s="56"/>
      <c r="D748" s="56"/>
      <c r="E748" s="16"/>
      <c r="F748" s="16"/>
      <c r="G748" s="67"/>
      <c r="H748" s="67"/>
      <c r="I748" s="67"/>
      <c r="J748" s="67"/>
      <c r="K748" s="56"/>
      <c r="L748" s="56"/>
      <c r="M748" s="66" t="str">
        <f aca="false">IF(OR($D748="",$F748=""),"",IF(COUNTIFS($D$7:$D748,$D748,$F$7:$F748,$F748)=1,1,0))</f>
        <v/>
      </c>
    </row>
    <row r="749" customFormat="false" ht="15" hidden="false" customHeight="true" outlineLevel="0" collapsed="false">
      <c r="A749" s="38"/>
      <c r="B749" s="38"/>
      <c r="C749" s="38"/>
      <c r="D749" s="38"/>
      <c r="E749" s="13"/>
      <c r="F749" s="13"/>
      <c r="G749" s="67"/>
      <c r="H749" s="67"/>
      <c r="I749" s="67"/>
      <c r="J749" s="67"/>
      <c r="K749" s="38"/>
      <c r="L749" s="38"/>
      <c r="M749" s="66" t="str">
        <f aca="false">IF(OR($D749="",$F749=""),"",IF(COUNTIFS($D$7:$D749,$D749,$F$7:$F749,$F749)=1,1,0))</f>
        <v/>
      </c>
    </row>
    <row r="750" customFormat="false" ht="15" hidden="false" customHeight="true" outlineLevel="0" collapsed="false">
      <c r="A750" s="56"/>
      <c r="B750" s="56"/>
      <c r="C750" s="56"/>
      <c r="D750" s="56"/>
      <c r="E750" s="16"/>
      <c r="F750" s="16"/>
      <c r="G750" s="67"/>
      <c r="H750" s="67"/>
      <c r="I750" s="67"/>
      <c r="J750" s="67"/>
      <c r="K750" s="56"/>
      <c r="L750" s="56"/>
      <c r="M750" s="66" t="str">
        <f aca="false">IF(OR($D750="",$F750=""),"",IF(COUNTIFS($D$7:$D750,$D750,$F$7:$F750,$F750)=1,1,0))</f>
        <v/>
      </c>
    </row>
    <row r="751" customFormat="false" ht="15" hidden="false" customHeight="true" outlineLevel="0" collapsed="false">
      <c r="A751" s="38"/>
      <c r="B751" s="38"/>
      <c r="C751" s="38"/>
      <c r="D751" s="38"/>
      <c r="E751" s="13"/>
      <c r="F751" s="13"/>
      <c r="G751" s="67"/>
      <c r="H751" s="67"/>
      <c r="I751" s="67"/>
      <c r="J751" s="67"/>
      <c r="K751" s="38"/>
      <c r="L751" s="38"/>
      <c r="M751" s="66" t="str">
        <f aca="false">IF(OR($D751="",$F751=""),"",IF(COUNTIFS($D$7:$D751,$D751,$F$7:$F751,$F751)=1,1,0))</f>
        <v/>
      </c>
    </row>
    <row r="752" customFormat="false" ht="15" hidden="false" customHeight="true" outlineLevel="0" collapsed="false">
      <c r="A752" s="56"/>
      <c r="B752" s="56"/>
      <c r="C752" s="56"/>
      <c r="D752" s="56"/>
      <c r="E752" s="16"/>
      <c r="F752" s="16"/>
      <c r="G752" s="67"/>
      <c r="H752" s="67"/>
      <c r="I752" s="67"/>
      <c r="J752" s="67"/>
      <c r="K752" s="56"/>
      <c r="L752" s="56"/>
      <c r="M752" s="66" t="str">
        <f aca="false">IF(OR($D752="",$F752=""),"",IF(COUNTIFS($D$7:$D752,$D752,$F$7:$F752,$F752)=1,1,0))</f>
        <v/>
      </c>
    </row>
    <row r="753" customFormat="false" ht="15" hidden="false" customHeight="true" outlineLevel="0" collapsed="false">
      <c r="A753" s="38"/>
      <c r="B753" s="38"/>
      <c r="C753" s="38"/>
      <c r="D753" s="38"/>
      <c r="E753" s="13"/>
      <c r="F753" s="13"/>
      <c r="G753" s="67"/>
      <c r="H753" s="67"/>
      <c r="I753" s="67"/>
      <c r="J753" s="67"/>
      <c r="K753" s="38"/>
      <c r="L753" s="38"/>
      <c r="M753" s="66" t="str">
        <f aca="false">IF(OR($D753="",$F753=""),"",IF(COUNTIFS($D$7:$D753,$D753,$F$7:$F753,$F753)=1,1,0))</f>
        <v/>
      </c>
    </row>
    <row r="754" customFormat="false" ht="15" hidden="false" customHeight="true" outlineLevel="0" collapsed="false">
      <c r="A754" s="56"/>
      <c r="B754" s="56"/>
      <c r="C754" s="56"/>
      <c r="D754" s="56"/>
      <c r="E754" s="16"/>
      <c r="F754" s="16"/>
      <c r="G754" s="67"/>
      <c r="H754" s="67"/>
      <c r="I754" s="67"/>
      <c r="J754" s="67"/>
      <c r="K754" s="56"/>
      <c r="L754" s="56"/>
      <c r="M754" s="66" t="str">
        <f aca="false">IF(OR($D754="",$F754=""),"",IF(COUNTIFS($D$7:$D754,$D754,$F$7:$F754,$F754)=1,1,0))</f>
        <v/>
      </c>
    </row>
    <row r="755" customFormat="false" ht="15" hidden="false" customHeight="true" outlineLevel="0" collapsed="false">
      <c r="A755" s="38"/>
      <c r="B755" s="38"/>
      <c r="C755" s="38"/>
      <c r="D755" s="38"/>
      <c r="E755" s="13"/>
      <c r="F755" s="13"/>
      <c r="G755" s="67"/>
      <c r="H755" s="67"/>
      <c r="I755" s="67"/>
      <c r="J755" s="67"/>
      <c r="K755" s="38"/>
      <c r="L755" s="38"/>
      <c r="M755" s="66" t="str">
        <f aca="false">IF(OR($D755="",$F755=""),"",IF(COUNTIFS($D$7:$D755,$D755,$F$7:$F755,$F755)=1,1,0))</f>
        <v/>
      </c>
    </row>
    <row r="756" customFormat="false" ht="15" hidden="false" customHeight="true" outlineLevel="0" collapsed="false">
      <c r="A756" s="56"/>
      <c r="B756" s="56"/>
      <c r="C756" s="56"/>
      <c r="D756" s="56"/>
      <c r="E756" s="16"/>
      <c r="F756" s="16"/>
      <c r="G756" s="67"/>
      <c r="H756" s="67"/>
      <c r="I756" s="67"/>
      <c r="J756" s="67"/>
      <c r="K756" s="56"/>
      <c r="L756" s="56"/>
      <c r="M756" s="66" t="str">
        <f aca="false">IF(OR($D756="",$F756=""),"",IF(COUNTIFS($D$7:$D756,$D756,$F$7:$F756,$F756)=1,1,0))</f>
        <v/>
      </c>
    </row>
    <row r="757" customFormat="false" ht="15" hidden="false" customHeight="true" outlineLevel="0" collapsed="false">
      <c r="A757" s="38"/>
      <c r="B757" s="38"/>
      <c r="C757" s="38"/>
      <c r="D757" s="38"/>
      <c r="E757" s="13"/>
      <c r="F757" s="13"/>
      <c r="G757" s="67"/>
      <c r="H757" s="67"/>
      <c r="I757" s="67"/>
      <c r="J757" s="67"/>
      <c r="K757" s="38"/>
      <c r="L757" s="38"/>
      <c r="M757" s="66" t="str">
        <f aca="false">IF(OR($D757="",$F757=""),"",IF(COUNTIFS($D$7:$D757,$D757,$F$7:$F757,$F757)=1,1,0))</f>
        <v/>
      </c>
    </row>
    <row r="758" customFormat="false" ht="15" hidden="false" customHeight="true" outlineLevel="0" collapsed="false">
      <c r="A758" s="56"/>
      <c r="B758" s="56"/>
      <c r="C758" s="56"/>
      <c r="D758" s="56"/>
      <c r="E758" s="16"/>
      <c r="F758" s="16"/>
      <c r="G758" s="67"/>
      <c r="H758" s="67"/>
      <c r="I758" s="67"/>
      <c r="J758" s="67"/>
      <c r="K758" s="56"/>
      <c r="L758" s="56"/>
      <c r="M758" s="66" t="str">
        <f aca="false">IF(OR($D758="",$F758=""),"",IF(COUNTIFS($D$7:$D758,$D758,$F$7:$F758,$F758)=1,1,0))</f>
        <v/>
      </c>
    </row>
    <row r="759" customFormat="false" ht="15" hidden="false" customHeight="true" outlineLevel="0" collapsed="false">
      <c r="A759" s="38"/>
      <c r="B759" s="38"/>
      <c r="C759" s="38"/>
      <c r="D759" s="38"/>
      <c r="E759" s="13"/>
      <c r="F759" s="13"/>
      <c r="G759" s="67"/>
      <c r="H759" s="67"/>
      <c r="I759" s="67"/>
      <c r="J759" s="67"/>
      <c r="K759" s="38"/>
      <c r="L759" s="38"/>
      <c r="M759" s="66" t="str">
        <f aca="false">IF(OR($D759="",$F759=""),"",IF(COUNTIFS($D$7:$D759,$D759,$F$7:$F759,$F759)=1,1,0))</f>
        <v/>
      </c>
    </row>
    <row r="760" customFormat="false" ht="15" hidden="false" customHeight="true" outlineLevel="0" collapsed="false">
      <c r="A760" s="56"/>
      <c r="B760" s="56"/>
      <c r="C760" s="56"/>
      <c r="D760" s="56"/>
      <c r="E760" s="16"/>
      <c r="F760" s="16"/>
      <c r="G760" s="67"/>
      <c r="H760" s="67"/>
      <c r="I760" s="67"/>
      <c r="J760" s="67"/>
      <c r="K760" s="56"/>
      <c r="L760" s="56"/>
      <c r="M760" s="66" t="str">
        <f aca="false">IF(OR($D760="",$F760=""),"",IF(COUNTIFS($D$7:$D760,$D760,$F$7:$F760,$F760)=1,1,0))</f>
        <v/>
      </c>
    </row>
    <row r="761" customFormat="false" ht="15" hidden="false" customHeight="true" outlineLevel="0" collapsed="false">
      <c r="A761" s="38"/>
      <c r="B761" s="38"/>
      <c r="C761" s="38"/>
      <c r="D761" s="38"/>
      <c r="E761" s="13"/>
      <c r="F761" s="13"/>
      <c r="G761" s="67"/>
      <c r="H761" s="67"/>
      <c r="I761" s="67"/>
      <c r="J761" s="67"/>
      <c r="K761" s="38"/>
      <c r="L761" s="38"/>
      <c r="M761" s="66" t="str">
        <f aca="false">IF(OR($D761="",$F761=""),"",IF(COUNTIFS($D$7:$D761,$D761,$F$7:$F761,$F761)=1,1,0))</f>
        <v/>
      </c>
    </row>
    <row r="762" customFormat="false" ht="15" hidden="false" customHeight="true" outlineLevel="0" collapsed="false">
      <c r="A762" s="56"/>
      <c r="B762" s="56"/>
      <c r="C762" s="56"/>
      <c r="D762" s="56"/>
      <c r="E762" s="16"/>
      <c r="F762" s="16"/>
      <c r="G762" s="67"/>
      <c r="H762" s="67"/>
      <c r="I762" s="67"/>
      <c r="J762" s="67"/>
      <c r="K762" s="56"/>
      <c r="L762" s="56"/>
      <c r="M762" s="66" t="str">
        <f aca="false">IF(OR($D762="",$F762=""),"",IF(COUNTIFS($D$7:$D762,$D762,$F$7:$F762,$F762)=1,1,0))</f>
        <v/>
      </c>
    </row>
    <row r="763" customFormat="false" ht="15" hidden="false" customHeight="true" outlineLevel="0" collapsed="false">
      <c r="A763" s="38"/>
      <c r="B763" s="38"/>
      <c r="C763" s="38"/>
      <c r="D763" s="38"/>
      <c r="E763" s="13"/>
      <c r="F763" s="13"/>
      <c r="G763" s="67"/>
      <c r="H763" s="67"/>
      <c r="I763" s="67"/>
      <c r="J763" s="67"/>
      <c r="K763" s="38"/>
      <c r="L763" s="38"/>
      <c r="M763" s="66" t="str">
        <f aca="false">IF(OR($D763="",$F763=""),"",IF(COUNTIFS($D$7:$D763,$D763,$F$7:$F763,$F763)=1,1,0))</f>
        <v/>
      </c>
    </row>
    <row r="764" customFormat="false" ht="15" hidden="false" customHeight="true" outlineLevel="0" collapsed="false">
      <c r="A764" s="56"/>
      <c r="B764" s="56"/>
      <c r="C764" s="56"/>
      <c r="D764" s="56"/>
      <c r="E764" s="16"/>
      <c r="F764" s="16"/>
      <c r="G764" s="67"/>
      <c r="H764" s="67"/>
      <c r="I764" s="67"/>
      <c r="J764" s="67"/>
      <c r="K764" s="56"/>
      <c r="L764" s="56"/>
      <c r="M764" s="66" t="str">
        <f aca="false">IF(OR($D764="",$F764=""),"",IF(COUNTIFS($D$7:$D764,$D764,$F$7:$F764,$F764)=1,1,0))</f>
        <v/>
      </c>
    </row>
    <row r="765" customFormat="false" ht="15" hidden="false" customHeight="true" outlineLevel="0" collapsed="false">
      <c r="A765" s="38"/>
      <c r="B765" s="38"/>
      <c r="C765" s="38"/>
      <c r="D765" s="38"/>
      <c r="E765" s="13"/>
      <c r="F765" s="13"/>
      <c r="G765" s="67"/>
      <c r="H765" s="67"/>
      <c r="I765" s="67"/>
      <c r="J765" s="67"/>
      <c r="K765" s="38"/>
      <c r="L765" s="38"/>
      <c r="M765" s="66" t="str">
        <f aca="false">IF(OR($D765="",$F765=""),"",IF(COUNTIFS($D$7:$D765,$D765,$F$7:$F765,$F765)=1,1,0))</f>
        <v/>
      </c>
    </row>
    <row r="766" customFormat="false" ht="15" hidden="false" customHeight="true" outlineLevel="0" collapsed="false">
      <c r="A766" s="56"/>
      <c r="B766" s="56"/>
      <c r="C766" s="56"/>
      <c r="D766" s="56"/>
      <c r="E766" s="16"/>
      <c r="F766" s="16"/>
      <c r="G766" s="67"/>
      <c r="H766" s="67"/>
      <c r="I766" s="67"/>
      <c r="J766" s="67"/>
      <c r="K766" s="56"/>
      <c r="L766" s="56"/>
      <c r="M766" s="66" t="str">
        <f aca="false">IF(OR($D766="",$F766=""),"",IF(COUNTIFS($D$7:$D766,$D766,$F$7:$F766,$F766)=1,1,0))</f>
        <v/>
      </c>
    </row>
    <row r="767" customFormat="false" ht="15" hidden="false" customHeight="true" outlineLevel="0" collapsed="false">
      <c r="A767" s="38"/>
      <c r="B767" s="38"/>
      <c r="C767" s="38"/>
      <c r="D767" s="38"/>
      <c r="E767" s="13"/>
      <c r="F767" s="13"/>
      <c r="G767" s="67"/>
      <c r="H767" s="67"/>
      <c r="I767" s="67"/>
      <c r="J767" s="67"/>
      <c r="K767" s="38"/>
      <c r="L767" s="38"/>
      <c r="M767" s="66" t="str">
        <f aca="false">IF(OR($D767="",$F767=""),"",IF(COUNTIFS($D$7:$D767,$D767,$F$7:$F767,$F767)=1,1,0))</f>
        <v/>
      </c>
    </row>
    <row r="768" customFormat="false" ht="15" hidden="false" customHeight="true" outlineLevel="0" collapsed="false">
      <c r="A768" s="56"/>
      <c r="B768" s="56"/>
      <c r="C768" s="56"/>
      <c r="D768" s="56"/>
      <c r="E768" s="16"/>
      <c r="F768" s="16"/>
      <c r="G768" s="67"/>
      <c r="H768" s="67"/>
      <c r="I768" s="67"/>
      <c r="J768" s="67"/>
      <c r="K768" s="56"/>
      <c r="L768" s="56"/>
      <c r="M768" s="66" t="str">
        <f aca="false">IF(OR($D768="",$F768=""),"",IF(COUNTIFS($D$7:$D768,$D768,$F$7:$F768,$F768)=1,1,0))</f>
        <v/>
      </c>
    </row>
    <row r="769" customFormat="false" ht="15" hidden="false" customHeight="true" outlineLevel="0" collapsed="false">
      <c r="A769" s="38"/>
      <c r="B769" s="38"/>
      <c r="C769" s="38"/>
      <c r="D769" s="38"/>
      <c r="E769" s="13"/>
      <c r="F769" s="13"/>
      <c r="G769" s="67"/>
      <c r="H769" s="67"/>
      <c r="I769" s="67"/>
      <c r="J769" s="67"/>
      <c r="K769" s="38"/>
      <c r="L769" s="38"/>
      <c r="M769" s="66" t="str">
        <f aca="false">IF(OR($D769="",$F769=""),"",IF(COUNTIFS($D$7:$D769,$D769,$F$7:$F769,$F769)=1,1,0))</f>
        <v/>
      </c>
    </row>
    <row r="770" customFormat="false" ht="15" hidden="false" customHeight="true" outlineLevel="0" collapsed="false">
      <c r="A770" s="56"/>
      <c r="B770" s="56"/>
      <c r="C770" s="56"/>
      <c r="D770" s="56"/>
      <c r="E770" s="16"/>
      <c r="F770" s="16"/>
      <c r="G770" s="67"/>
      <c r="H770" s="67"/>
      <c r="I770" s="67"/>
      <c r="J770" s="67"/>
      <c r="K770" s="56"/>
      <c r="L770" s="56"/>
      <c r="M770" s="66" t="str">
        <f aca="false">IF(OR($D770="",$F770=""),"",IF(COUNTIFS($D$7:$D770,$D770,$F$7:$F770,$F770)=1,1,0))</f>
        <v/>
      </c>
    </row>
    <row r="771" customFormat="false" ht="15" hidden="false" customHeight="true" outlineLevel="0" collapsed="false">
      <c r="A771" s="38"/>
      <c r="B771" s="38"/>
      <c r="C771" s="38"/>
      <c r="D771" s="38"/>
      <c r="E771" s="13"/>
      <c r="F771" s="13"/>
      <c r="G771" s="67"/>
      <c r="H771" s="67"/>
      <c r="I771" s="67"/>
      <c r="J771" s="67"/>
      <c r="K771" s="38"/>
      <c r="L771" s="38"/>
      <c r="M771" s="66" t="str">
        <f aca="false">IF(OR($D771="",$F771=""),"",IF(COUNTIFS($D$7:$D771,$D771,$F$7:$F771,$F771)=1,1,0))</f>
        <v/>
      </c>
    </row>
    <row r="772" customFormat="false" ht="15" hidden="false" customHeight="true" outlineLevel="0" collapsed="false">
      <c r="A772" s="56"/>
      <c r="B772" s="56"/>
      <c r="C772" s="56"/>
      <c r="D772" s="56"/>
      <c r="E772" s="16"/>
      <c r="F772" s="16"/>
      <c r="G772" s="67"/>
      <c r="H772" s="67"/>
      <c r="I772" s="67"/>
      <c r="J772" s="67"/>
      <c r="K772" s="56"/>
      <c r="L772" s="56"/>
      <c r="M772" s="66" t="str">
        <f aca="false">IF(OR($D772="",$F772=""),"",IF(COUNTIFS($D$7:$D772,$D772,$F$7:$F772,$F772)=1,1,0))</f>
        <v/>
      </c>
    </row>
    <row r="773" customFormat="false" ht="15" hidden="false" customHeight="true" outlineLevel="0" collapsed="false">
      <c r="A773" s="38"/>
      <c r="B773" s="38"/>
      <c r="C773" s="38"/>
      <c r="D773" s="38"/>
      <c r="E773" s="13"/>
      <c r="F773" s="13"/>
      <c r="G773" s="67"/>
      <c r="H773" s="67"/>
      <c r="I773" s="67"/>
      <c r="J773" s="67"/>
      <c r="K773" s="38"/>
      <c r="L773" s="38"/>
      <c r="M773" s="66" t="str">
        <f aca="false">IF(OR($D773="",$F773=""),"",IF(COUNTIFS($D$7:$D773,$D773,$F$7:$F773,$F773)=1,1,0))</f>
        <v/>
      </c>
    </row>
    <row r="774" customFormat="false" ht="15" hidden="false" customHeight="true" outlineLevel="0" collapsed="false">
      <c r="A774" s="56"/>
      <c r="B774" s="56"/>
      <c r="C774" s="56"/>
      <c r="D774" s="56"/>
      <c r="E774" s="16"/>
      <c r="F774" s="16"/>
      <c r="G774" s="67"/>
      <c r="H774" s="67"/>
      <c r="I774" s="67"/>
      <c r="J774" s="67"/>
      <c r="K774" s="56"/>
      <c r="L774" s="56"/>
      <c r="M774" s="66" t="str">
        <f aca="false">IF(OR($D774="",$F774=""),"",IF(COUNTIFS($D$7:$D774,$D774,$F$7:$F774,$F774)=1,1,0))</f>
        <v/>
      </c>
    </row>
    <row r="775" customFormat="false" ht="15" hidden="false" customHeight="true" outlineLevel="0" collapsed="false">
      <c r="A775" s="38"/>
      <c r="B775" s="38"/>
      <c r="C775" s="38"/>
      <c r="D775" s="38"/>
      <c r="E775" s="13"/>
      <c r="F775" s="13"/>
      <c r="G775" s="67"/>
      <c r="H775" s="67"/>
      <c r="I775" s="67"/>
      <c r="J775" s="67"/>
      <c r="K775" s="38"/>
      <c r="L775" s="38"/>
      <c r="M775" s="66" t="str">
        <f aca="false">IF(OR($D775="",$F775=""),"",IF(COUNTIFS($D$7:$D775,$D775,$F$7:$F775,$F775)=1,1,0))</f>
        <v/>
      </c>
    </row>
    <row r="776" customFormat="false" ht="15" hidden="false" customHeight="true" outlineLevel="0" collapsed="false">
      <c r="A776" s="56"/>
      <c r="B776" s="56"/>
      <c r="C776" s="56"/>
      <c r="D776" s="56"/>
      <c r="E776" s="16"/>
      <c r="F776" s="16"/>
      <c r="G776" s="67"/>
      <c r="H776" s="67"/>
      <c r="I776" s="67"/>
      <c r="J776" s="67"/>
      <c r="K776" s="56"/>
      <c r="L776" s="56"/>
      <c r="M776" s="66" t="str">
        <f aca="false">IF(OR($D776="",$F776=""),"",IF(COUNTIFS($D$7:$D776,$D776,$F$7:$F776,$F776)=1,1,0))</f>
        <v/>
      </c>
    </row>
    <row r="777" customFormat="false" ht="15" hidden="false" customHeight="true" outlineLevel="0" collapsed="false">
      <c r="A777" s="38"/>
      <c r="B777" s="38"/>
      <c r="C777" s="38"/>
      <c r="D777" s="38"/>
      <c r="E777" s="13"/>
      <c r="F777" s="13"/>
      <c r="G777" s="67"/>
      <c r="H777" s="67"/>
      <c r="I777" s="67"/>
      <c r="J777" s="67"/>
      <c r="K777" s="38"/>
      <c r="L777" s="38"/>
      <c r="M777" s="66" t="str">
        <f aca="false">IF(OR($D777="",$F777=""),"",IF(COUNTIFS($D$7:$D777,$D777,$F$7:$F777,$F777)=1,1,0))</f>
        <v/>
      </c>
    </row>
    <row r="778" customFormat="false" ht="15" hidden="false" customHeight="true" outlineLevel="0" collapsed="false">
      <c r="A778" s="56"/>
      <c r="B778" s="56"/>
      <c r="C778" s="56"/>
      <c r="D778" s="56"/>
      <c r="E778" s="16"/>
      <c r="F778" s="16"/>
      <c r="G778" s="67"/>
      <c r="H778" s="67"/>
      <c r="I778" s="67"/>
      <c r="J778" s="67"/>
      <c r="K778" s="56"/>
      <c r="L778" s="56"/>
      <c r="M778" s="66" t="str">
        <f aca="false">IF(OR($D778="",$F778=""),"",IF(COUNTIFS($D$7:$D778,$D778,$F$7:$F778,$F778)=1,1,0))</f>
        <v/>
      </c>
    </row>
    <row r="779" customFormat="false" ht="15" hidden="false" customHeight="true" outlineLevel="0" collapsed="false">
      <c r="A779" s="38"/>
      <c r="B779" s="38"/>
      <c r="C779" s="38"/>
      <c r="D779" s="38"/>
      <c r="E779" s="13"/>
      <c r="F779" s="13"/>
      <c r="G779" s="67"/>
      <c r="H779" s="67"/>
      <c r="I779" s="67"/>
      <c r="J779" s="67"/>
      <c r="K779" s="38"/>
      <c r="L779" s="38"/>
      <c r="M779" s="66" t="str">
        <f aca="false">IF(OR($D779="",$F779=""),"",IF(COUNTIFS($D$7:$D779,$D779,$F$7:$F779,$F779)=1,1,0))</f>
        <v/>
      </c>
    </row>
    <row r="780" customFormat="false" ht="15" hidden="false" customHeight="true" outlineLevel="0" collapsed="false">
      <c r="A780" s="56"/>
      <c r="B780" s="56"/>
      <c r="C780" s="56"/>
      <c r="D780" s="56"/>
      <c r="E780" s="16"/>
      <c r="F780" s="16"/>
      <c r="G780" s="67"/>
      <c r="H780" s="67"/>
      <c r="I780" s="67"/>
      <c r="J780" s="67"/>
      <c r="K780" s="56"/>
      <c r="L780" s="56"/>
      <c r="M780" s="66" t="str">
        <f aca="false">IF(OR($D780="",$F780=""),"",IF(COUNTIFS($D$7:$D780,$D780,$F$7:$F780,$F780)=1,1,0))</f>
        <v/>
      </c>
    </row>
    <row r="781" customFormat="false" ht="15" hidden="false" customHeight="true" outlineLevel="0" collapsed="false">
      <c r="A781" s="38"/>
      <c r="B781" s="38"/>
      <c r="C781" s="38"/>
      <c r="D781" s="38"/>
      <c r="E781" s="13"/>
      <c r="F781" s="13"/>
      <c r="G781" s="67"/>
      <c r="H781" s="67"/>
      <c r="I781" s="67"/>
      <c r="J781" s="67"/>
      <c r="K781" s="38"/>
      <c r="L781" s="38"/>
      <c r="M781" s="66" t="str">
        <f aca="false">IF(OR($D781="",$F781=""),"",IF(COUNTIFS($D$7:$D781,$D781,$F$7:$F781,$F781)=1,1,0))</f>
        <v/>
      </c>
    </row>
    <row r="782" customFormat="false" ht="15" hidden="false" customHeight="true" outlineLevel="0" collapsed="false">
      <c r="A782" s="56"/>
      <c r="B782" s="56"/>
      <c r="C782" s="56"/>
      <c r="D782" s="56"/>
      <c r="E782" s="16"/>
      <c r="F782" s="16"/>
      <c r="G782" s="67"/>
      <c r="H782" s="67"/>
      <c r="I782" s="67"/>
      <c r="J782" s="67"/>
      <c r="K782" s="56"/>
      <c r="L782" s="56"/>
      <c r="M782" s="66" t="str">
        <f aca="false">IF(OR($D782="",$F782=""),"",IF(COUNTIFS($D$7:$D782,$D782,$F$7:$F782,$F782)=1,1,0))</f>
        <v/>
      </c>
    </row>
    <row r="783" customFormat="false" ht="15" hidden="false" customHeight="true" outlineLevel="0" collapsed="false">
      <c r="A783" s="38"/>
      <c r="B783" s="38"/>
      <c r="C783" s="38"/>
      <c r="D783" s="38"/>
      <c r="E783" s="13"/>
      <c r="F783" s="13"/>
      <c r="G783" s="67"/>
      <c r="H783" s="67"/>
      <c r="I783" s="67"/>
      <c r="J783" s="67"/>
      <c r="K783" s="38"/>
      <c r="L783" s="38"/>
      <c r="M783" s="66" t="str">
        <f aca="false">IF(OR($D783="",$F783=""),"",IF(COUNTIFS($D$7:$D783,$D783,$F$7:$F783,$F783)=1,1,0))</f>
        <v/>
      </c>
    </row>
    <row r="784" customFormat="false" ht="15" hidden="false" customHeight="true" outlineLevel="0" collapsed="false">
      <c r="A784" s="56"/>
      <c r="B784" s="56"/>
      <c r="C784" s="56"/>
      <c r="D784" s="56"/>
      <c r="E784" s="16"/>
      <c r="F784" s="16"/>
      <c r="G784" s="67"/>
      <c r="H784" s="67"/>
      <c r="I784" s="67"/>
      <c r="J784" s="67"/>
      <c r="K784" s="56"/>
      <c r="L784" s="56"/>
      <c r="M784" s="66" t="str">
        <f aca="false">IF(OR($D784="",$F784=""),"",IF(COUNTIFS($D$7:$D784,$D784,$F$7:$F784,$F784)=1,1,0))</f>
        <v/>
      </c>
    </row>
    <row r="785" customFormat="false" ht="15" hidden="false" customHeight="true" outlineLevel="0" collapsed="false">
      <c r="A785" s="38"/>
      <c r="B785" s="38"/>
      <c r="C785" s="38"/>
      <c r="D785" s="38"/>
      <c r="E785" s="13"/>
      <c r="F785" s="13"/>
      <c r="G785" s="67"/>
      <c r="H785" s="67"/>
      <c r="I785" s="67"/>
      <c r="J785" s="67"/>
      <c r="K785" s="38"/>
      <c r="L785" s="38"/>
      <c r="M785" s="66" t="str">
        <f aca="false">IF(OR($D785="",$F785=""),"",IF(COUNTIFS($D$7:$D785,$D785,$F$7:$F785,$F785)=1,1,0))</f>
        <v/>
      </c>
    </row>
    <row r="786" customFormat="false" ht="15" hidden="false" customHeight="true" outlineLevel="0" collapsed="false">
      <c r="A786" s="56"/>
      <c r="B786" s="56"/>
      <c r="C786" s="56"/>
      <c r="D786" s="56"/>
      <c r="E786" s="16"/>
      <c r="F786" s="16"/>
      <c r="G786" s="67"/>
      <c r="H786" s="67"/>
      <c r="I786" s="67"/>
      <c r="J786" s="67"/>
      <c r="K786" s="56"/>
      <c r="L786" s="56"/>
      <c r="M786" s="66" t="str">
        <f aca="false">IF(OR($D786="",$F786=""),"",IF(COUNTIFS($D$7:$D786,$D786,$F$7:$F786,$F786)=1,1,0))</f>
        <v/>
      </c>
    </row>
    <row r="787" customFormat="false" ht="15" hidden="false" customHeight="true" outlineLevel="0" collapsed="false">
      <c r="A787" s="38"/>
      <c r="B787" s="38"/>
      <c r="C787" s="38"/>
      <c r="D787" s="38"/>
      <c r="E787" s="13"/>
      <c r="F787" s="13"/>
      <c r="G787" s="67"/>
      <c r="H787" s="67"/>
      <c r="I787" s="67"/>
      <c r="J787" s="67"/>
      <c r="K787" s="38"/>
      <c r="L787" s="38"/>
      <c r="M787" s="66" t="str">
        <f aca="false">IF(OR($D787="",$F787=""),"",IF(COUNTIFS($D$7:$D787,$D787,$F$7:$F787,$F787)=1,1,0))</f>
        <v/>
      </c>
    </row>
    <row r="788" customFormat="false" ht="15" hidden="false" customHeight="true" outlineLevel="0" collapsed="false">
      <c r="A788" s="56"/>
      <c r="B788" s="56"/>
      <c r="C788" s="56"/>
      <c r="D788" s="56"/>
      <c r="E788" s="16"/>
      <c r="F788" s="16"/>
      <c r="G788" s="67"/>
      <c r="H788" s="67"/>
      <c r="I788" s="67"/>
      <c r="J788" s="67"/>
      <c r="K788" s="56"/>
      <c r="L788" s="56"/>
      <c r="M788" s="66" t="str">
        <f aca="false">IF(OR($D788="",$F788=""),"",IF(COUNTIFS($D$7:$D788,$D788,$F$7:$F788,$F788)=1,1,0))</f>
        <v/>
      </c>
    </row>
    <row r="789" customFormat="false" ht="15" hidden="false" customHeight="true" outlineLevel="0" collapsed="false">
      <c r="A789" s="38"/>
      <c r="B789" s="38"/>
      <c r="C789" s="38"/>
      <c r="D789" s="38"/>
      <c r="E789" s="13"/>
      <c r="F789" s="13"/>
      <c r="G789" s="67"/>
      <c r="H789" s="67"/>
      <c r="I789" s="67"/>
      <c r="J789" s="67"/>
      <c r="K789" s="38"/>
      <c r="L789" s="38"/>
      <c r="M789" s="66" t="str">
        <f aca="false">IF(OR($D789="",$F789=""),"",IF(COUNTIFS($D$7:$D789,$D789,$F$7:$F789,$F789)=1,1,0))</f>
        <v/>
      </c>
    </row>
    <row r="790" customFormat="false" ht="15" hidden="false" customHeight="true" outlineLevel="0" collapsed="false">
      <c r="A790" s="56"/>
      <c r="B790" s="56"/>
      <c r="C790" s="56"/>
      <c r="D790" s="56"/>
      <c r="E790" s="16"/>
      <c r="F790" s="16"/>
      <c r="G790" s="67"/>
      <c r="H790" s="67"/>
      <c r="I790" s="67"/>
      <c r="J790" s="67"/>
      <c r="K790" s="56"/>
      <c r="L790" s="56"/>
      <c r="M790" s="66" t="str">
        <f aca="false">IF(OR($D790="",$F790=""),"",IF(COUNTIFS($D$7:$D790,$D790,$F$7:$F790,$F790)=1,1,0))</f>
        <v/>
      </c>
    </row>
    <row r="791" customFormat="false" ht="15" hidden="false" customHeight="true" outlineLevel="0" collapsed="false">
      <c r="A791" s="38"/>
      <c r="B791" s="38"/>
      <c r="C791" s="38"/>
      <c r="D791" s="38"/>
      <c r="E791" s="13"/>
      <c r="F791" s="13"/>
      <c r="G791" s="67"/>
      <c r="H791" s="67"/>
      <c r="I791" s="67"/>
      <c r="J791" s="67"/>
      <c r="K791" s="38"/>
      <c r="L791" s="38"/>
      <c r="M791" s="66" t="str">
        <f aca="false">IF(OR($D791="",$F791=""),"",IF(COUNTIFS($D$7:$D791,$D791,$F$7:$F791,$F791)=1,1,0))</f>
        <v/>
      </c>
    </row>
    <row r="792" customFormat="false" ht="15" hidden="false" customHeight="true" outlineLevel="0" collapsed="false">
      <c r="A792" s="56"/>
      <c r="B792" s="56"/>
      <c r="C792" s="56"/>
      <c r="D792" s="56"/>
      <c r="E792" s="16"/>
      <c r="F792" s="16"/>
      <c r="G792" s="67"/>
      <c r="H792" s="67"/>
      <c r="I792" s="67"/>
      <c r="J792" s="67"/>
      <c r="K792" s="56"/>
      <c r="L792" s="56"/>
      <c r="M792" s="66" t="str">
        <f aca="false">IF(OR($D792="",$F792=""),"",IF(COUNTIFS($D$7:$D792,$D792,$F$7:$F792,$F792)=1,1,0))</f>
        <v/>
      </c>
    </row>
    <row r="793" customFormat="false" ht="15" hidden="false" customHeight="true" outlineLevel="0" collapsed="false">
      <c r="A793" s="38"/>
      <c r="B793" s="38"/>
      <c r="C793" s="38"/>
      <c r="D793" s="38"/>
      <c r="E793" s="13"/>
      <c r="F793" s="13"/>
      <c r="G793" s="67"/>
      <c r="H793" s="67"/>
      <c r="I793" s="67"/>
      <c r="J793" s="67"/>
      <c r="K793" s="38"/>
      <c r="L793" s="38"/>
      <c r="M793" s="66" t="str">
        <f aca="false">IF(OR($D793="",$F793=""),"",IF(COUNTIFS($D$7:$D793,$D793,$F$7:$F793,$F793)=1,1,0))</f>
        <v/>
      </c>
    </row>
    <row r="794" customFormat="false" ht="15" hidden="false" customHeight="true" outlineLevel="0" collapsed="false">
      <c r="A794" s="56"/>
      <c r="B794" s="56"/>
      <c r="C794" s="56"/>
      <c r="D794" s="56"/>
      <c r="E794" s="16"/>
      <c r="F794" s="16"/>
      <c r="G794" s="67"/>
      <c r="H794" s="67"/>
      <c r="I794" s="67"/>
      <c r="J794" s="67"/>
      <c r="K794" s="56"/>
      <c r="L794" s="56"/>
      <c r="M794" s="66" t="str">
        <f aca="false">IF(OR($D794="",$F794=""),"",IF(COUNTIFS($D$7:$D794,$D794,$F$7:$F794,$F794)=1,1,0))</f>
        <v/>
      </c>
    </row>
    <row r="795" customFormat="false" ht="15" hidden="false" customHeight="true" outlineLevel="0" collapsed="false">
      <c r="A795" s="38"/>
      <c r="B795" s="38"/>
      <c r="C795" s="38"/>
      <c r="D795" s="38"/>
      <c r="E795" s="13"/>
      <c r="F795" s="13"/>
      <c r="G795" s="67"/>
      <c r="H795" s="67"/>
      <c r="I795" s="67"/>
      <c r="J795" s="67"/>
      <c r="K795" s="38"/>
      <c r="L795" s="38"/>
      <c r="M795" s="66" t="str">
        <f aca="false">IF(OR($D795="",$F795=""),"",IF(COUNTIFS($D$7:$D795,$D795,$F$7:$F795,$F795)=1,1,0))</f>
        <v/>
      </c>
    </row>
    <row r="796" customFormat="false" ht="15" hidden="false" customHeight="true" outlineLevel="0" collapsed="false">
      <c r="A796" s="56"/>
      <c r="B796" s="56"/>
      <c r="C796" s="56"/>
      <c r="D796" s="56"/>
      <c r="E796" s="16"/>
      <c r="F796" s="16"/>
      <c r="G796" s="67"/>
      <c r="H796" s="67"/>
      <c r="I796" s="67"/>
      <c r="J796" s="67"/>
      <c r="K796" s="56"/>
      <c r="L796" s="56"/>
      <c r="M796" s="66" t="str">
        <f aca="false">IF(OR($D796="",$F796=""),"",IF(COUNTIFS($D$7:$D796,$D796,$F$7:$F796,$F796)=1,1,0))</f>
        <v/>
      </c>
    </row>
    <row r="797" customFormat="false" ht="15" hidden="false" customHeight="true" outlineLevel="0" collapsed="false">
      <c r="A797" s="38"/>
      <c r="B797" s="38"/>
      <c r="C797" s="38"/>
      <c r="D797" s="38"/>
      <c r="E797" s="13"/>
      <c r="F797" s="13"/>
      <c r="G797" s="67"/>
      <c r="H797" s="67"/>
      <c r="I797" s="67"/>
      <c r="J797" s="67"/>
      <c r="K797" s="38"/>
      <c r="L797" s="38"/>
      <c r="M797" s="66" t="str">
        <f aca="false">IF(OR($D797="",$F797=""),"",IF(COUNTIFS($D$7:$D797,$D797,$F$7:$F797,$F797)=1,1,0))</f>
        <v/>
      </c>
    </row>
    <row r="798" customFormat="false" ht="15" hidden="false" customHeight="true" outlineLevel="0" collapsed="false">
      <c r="A798" s="56"/>
      <c r="B798" s="56"/>
      <c r="C798" s="56"/>
      <c r="D798" s="56"/>
      <c r="E798" s="16"/>
      <c r="F798" s="16"/>
      <c r="G798" s="67"/>
      <c r="H798" s="67"/>
      <c r="I798" s="67"/>
      <c r="J798" s="67"/>
      <c r="K798" s="56"/>
      <c r="L798" s="56"/>
      <c r="M798" s="66" t="str">
        <f aca="false">IF(OR($D798="",$F798=""),"",IF(COUNTIFS($D$7:$D798,$D798,$F$7:$F798,$F798)=1,1,0))</f>
        <v/>
      </c>
    </row>
    <row r="799" customFormat="false" ht="15" hidden="false" customHeight="true" outlineLevel="0" collapsed="false">
      <c r="A799" s="38"/>
      <c r="B799" s="38"/>
      <c r="C799" s="38"/>
      <c r="D799" s="38"/>
      <c r="E799" s="13"/>
      <c r="F799" s="13"/>
      <c r="G799" s="67"/>
      <c r="H799" s="67"/>
      <c r="I799" s="67"/>
      <c r="J799" s="67"/>
      <c r="K799" s="38"/>
      <c r="L799" s="38"/>
      <c r="M799" s="66" t="str">
        <f aca="false">IF(OR($D799="",$F799=""),"",IF(COUNTIFS($D$7:$D799,$D799,$F$7:$F799,$F799)=1,1,0))</f>
        <v/>
      </c>
    </row>
    <row r="800" customFormat="false" ht="15" hidden="false" customHeight="true" outlineLevel="0" collapsed="false">
      <c r="A800" s="56"/>
      <c r="B800" s="56"/>
      <c r="C800" s="56"/>
      <c r="D800" s="56"/>
      <c r="E800" s="16"/>
      <c r="F800" s="16"/>
      <c r="G800" s="67"/>
      <c r="H800" s="67"/>
      <c r="I800" s="67"/>
      <c r="J800" s="67"/>
      <c r="K800" s="56"/>
      <c r="L800" s="56"/>
      <c r="M800" s="66" t="str">
        <f aca="false">IF(OR($D800="",$F800=""),"",IF(COUNTIFS($D$7:$D800,$D800,$F$7:$F800,$F800)=1,1,0))</f>
        <v/>
      </c>
    </row>
    <row r="801" customFormat="false" ht="15" hidden="false" customHeight="true" outlineLevel="0" collapsed="false">
      <c r="A801" s="38"/>
      <c r="B801" s="38"/>
      <c r="C801" s="38"/>
      <c r="D801" s="38"/>
      <c r="E801" s="13"/>
      <c r="F801" s="13"/>
      <c r="G801" s="67"/>
      <c r="H801" s="67"/>
      <c r="I801" s="67"/>
      <c r="J801" s="67"/>
      <c r="K801" s="38"/>
      <c r="L801" s="38"/>
      <c r="M801" s="66" t="str">
        <f aca="false">IF(OR($D801="",$F801=""),"",IF(COUNTIFS($D$7:$D801,$D801,$F$7:$F801,$F801)=1,1,0))</f>
        <v/>
      </c>
    </row>
    <row r="802" customFormat="false" ht="15" hidden="false" customHeight="true" outlineLevel="0" collapsed="false">
      <c r="A802" s="56"/>
      <c r="B802" s="56"/>
      <c r="C802" s="56"/>
      <c r="D802" s="56"/>
      <c r="E802" s="16"/>
      <c r="F802" s="16"/>
      <c r="G802" s="67"/>
      <c r="H802" s="67"/>
      <c r="I802" s="67"/>
      <c r="J802" s="67"/>
      <c r="K802" s="56"/>
      <c r="L802" s="56"/>
      <c r="M802" s="66" t="str">
        <f aca="false">IF(OR($D802="",$F802=""),"",IF(COUNTIFS($D$7:$D802,$D802,$F$7:$F802,$F802)=1,1,0))</f>
        <v/>
      </c>
    </row>
    <row r="803" customFormat="false" ht="15" hidden="false" customHeight="true" outlineLevel="0" collapsed="false">
      <c r="A803" s="38"/>
      <c r="B803" s="38"/>
      <c r="C803" s="38"/>
      <c r="D803" s="38"/>
      <c r="E803" s="13"/>
      <c r="F803" s="13"/>
      <c r="G803" s="67"/>
      <c r="H803" s="67"/>
      <c r="I803" s="67"/>
      <c r="J803" s="67"/>
      <c r="K803" s="38"/>
      <c r="L803" s="38"/>
      <c r="M803" s="66" t="str">
        <f aca="false">IF(OR($D803="",$F803=""),"",IF(COUNTIFS($D$7:$D803,$D803,$F$7:$F803,$F803)=1,1,0))</f>
        <v/>
      </c>
    </row>
    <row r="804" customFormat="false" ht="15" hidden="false" customHeight="true" outlineLevel="0" collapsed="false">
      <c r="A804" s="56"/>
      <c r="B804" s="56"/>
      <c r="C804" s="56"/>
      <c r="D804" s="56"/>
      <c r="E804" s="16"/>
      <c r="F804" s="16"/>
      <c r="G804" s="67"/>
      <c r="H804" s="67"/>
      <c r="I804" s="67"/>
      <c r="J804" s="67"/>
      <c r="K804" s="56"/>
      <c r="L804" s="56"/>
      <c r="M804" s="66" t="str">
        <f aca="false">IF(OR($D804="",$F804=""),"",IF(COUNTIFS($D$7:$D804,$D804,$F$7:$F804,$F804)=1,1,0))</f>
        <v/>
      </c>
    </row>
    <row r="805" customFormat="false" ht="15" hidden="false" customHeight="true" outlineLevel="0" collapsed="false">
      <c r="A805" s="38"/>
      <c r="B805" s="38"/>
      <c r="C805" s="38"/>
      <c r="D805" s="38"/>
      <c r="E805" s="13"/>
      <c r="F805" s="13"/>
      <c r="G805" s="67"/>
      <c r="H805" s="67"/>
      <c r="I805" s="67"/>
      <c r="J805" s="67"/>
      <c r="K805" s="38"/>
      <c r="L805" s="38"/>
      <c r="M805" s="66" t="str">
        <f aca="false">IF(OR($D805="",$F805=""),"",IF(COUNTIFS($D$7:$D805,$D805,$F$7:$F805,$F805)=1,1,0))</f>
        <v/>
      </c>
    </row>
    <row r="806" customFormat="false" ht="15" hidden="false" customHeight="true" outlineLevel="0" collapsed="false">
      <c r="A806" s="56"/>
      <c r="B806" s="56"/>
      <c r="C806" s="56"/>
      <c r="D806" s="56"/>
      <c r="E806" s="16"/>
      <c r="F806" s="16"/>
      <c r="G806" s="67"/>
      <c r="H806" s="67"/>
      <c r="I806" s="67"/>
      <c r="J806" s="67"/>
      <c r="K806" s="56"/>
      <c r="L806" s="56"/>
      <c r="M806" s="66" t="str">
        <f aca="false">IF(OR($D806="",$F806=""),"",IF(COUNTIFS($D$7:$D806,$D806,$F$7:$F806,$F806)=1,1,0))</f>
        <v/>
      </c>
    </row>
    <row r="807" customFormat="false" ht="15" hidden="false" customHeight="true" outlineLevel="0" collapsed="false">
      <c r="A807" s="38"/>
      <c r="B807" s="38"/>
      <c r="C807" s="38"/>
      <c r="D807" s="38"/>
      <c r="E807" s="13"/>
      <c r="F807" s="13"/>
      <c r="G807" s="67"/>
      <c r="H807" s="67"/>
      <c r="I807" s="67"/>
      <c r="J807" s="67"/>
      <c r="K807" s="38"/>
      <c r="L807" s="38"/>
      <c r="M807" s="66" t="str">
        <f aca="false">IF(OR($D807="",$F807=""),"",IF(COUNTIFS($D$7:$D807,$D807,$F$7:$F807,$F807)=1,1,0))</f>
        <v/>
      </c>
    </row>
    <row r="808" customFormat="false" ht="15" hidden="false" customHeight="true" outlineLevel="0" collapsed="false">
      <c r="A808" s="56"/>
      <c r="B808" s="56"/>
      <c r="C808" s="56"/>
      <c r="D808" s="56"/>
      <c r="E808" s="16"/>
      <c r="F808" s="16"/>
      <c r="G808" s="67"/>
      <c r="H808" s="67"/>
      <c r="I808" s="67"/>
      <c r="J808" s="67"/>
      <c r="K808" s="56"/>
      <c r="L808" s="56"/>
      <c r="M808" s="66" t="str">
        <f aca="false">IF(OR($D808="",$F808=""),"",IF(COUNTIFS($D$7:$D808,$D808,$F$7:$F808,$F808)=1,1,0))</f>
        <v/>
      </c>
    </row>
    <row r="809" customFormat="false" ht="15" hidden="false" customHeight="true" outlineLevel="0" collapsed="false">
      <c r="A809" s="38"/>
      <c r="B809" s="38"/>
      <c r="C809" s="38"/>
      <c r="D809" s="38"/>
      <c r="E809" s="13"/>
      <c r="F809" s="13"/>
      <c r="G809" s="67"/>
      <c r="H809" s="67"/>
      <c r="I809" s="67"/>
      <c r="J809" s="67"/>
      <c r="K809" s="38"/>
      <c r="L809" s="38"/>
      <c r="M809" s="66" t="str">
        <f aca="false">IF(OR($D809="",$F809=""),"",IF(COUNTIFS($D$7:$D809,$D809,$F$7:$F809,$F809)=1,1,0))</f>
        <v/>
      </c>
    </row>
    <row r="810" customFormat="false" ht="15" hidden="false" customHeight="true" outlineLevel="0" collapsed="false">
      <c r="A810" s="56"/>
      <c r="B810" s="56"/>
      <c r="C810" s="56"/>
      <c r="D810" s="56"/>
      <c r="E810" s="16"/>
      <c r="F810" s="16"/>
      <c r="G810" s="67"/>
      <c r="H810" s="67"/>
      <c r="I810" s="67"/>
      <c r="J810" s="67"/>
      <c r="K810" s="56"/>
      <c r="L810" s="56"/>
      <c r="M810" s="66" t="str">
        <f aca="false">IF(OR($D810="",$F810=""),"",IF(COUNTIFS($D$7:$D810,$D810,$F$7:$F810,$F810)=1,1,0))</f>
        <v/>
      </c>
    </row>
    <row r="811" customFormat="false" ht="15" hidden="false" customHeight="true" outlineLevel="0" collapsed="false">
      <c r="A811" s="38"/>
      <c r="B811" s="38"/>
      <c r="C811" s="38"/>
      <c r="D811" s="38"/>
      <c r="E811" s="13"/>
      <c r="F811" s="13"/>
      <c r="G811" s="67"/>
      <c r="H811" s="67"/>
      <c r="I811" s="67"/>
      <c r="J811" s="67"/>
      <c r="K811" s="38"/>
      <c r="L811" s="38"/>
      <c r="M811" s="66" t="str">
        <f aca="false">IF(OR($D811="",$F811=""),"",IF(COUNTIFS($D$7:$D811,$D811,$F$7:$F811,$F811)=1,1,0))</f>
        <v/>
      </c>
    </row>
    <row r="812" customFormat="false" ht="15" hidden="false" customHeight="true" outlineLevel="0" collapsed="false">
      <c r="A812" s="56"/>
      <c r="B812" s="56"/>
      <c r="C812" s="56"/>
      <c r="D812" s="56"/>
      <c r="E812" s="16"/>
      <c r="F812" s="16"/>
      <c r="G812" s="67"/>
      <c r="H812" s="67"/>
      <c r="I812" s="67"/>
      <c r="J812" s="67"/>
      <c r="K812" s="56"/>
      <c r="L812" s="56"/>
      <c r="M812" s="66" t="str">
        <f aca="false">IF(OR($D812="",$F812=""),"",IF(COUNTIFS($D$7:$D812,$D812,$F$7:$F812,$F812)=1,1,0))</f>
        <v/>
      </c>
    </row>
    <row r="813" customFormat="false" ht="15" hidden="false" customHeight="true" outlineLevel="0" collapsed="false">
      <c r="A813" s="38"/>
      <c r="B813" s="38"/>
      <c r="C813" s="38"/>
      <c r="D813" s="38"/>
      <c r="E813" s="13"/>
      <c r="F813" s="13"/>
      <c r="G813" s="67"/>
      <c r="H813" s="67"/>
      <c r="I813" s="67"/>
      <c r="J813" s="67"/>
      <c r="K813" s="38"/>
      <c r="L813" s="38"/>
      <c r="M813" s="66" t="str">
        <f aca="false">IF(OR($D813="",$F813=""),"",IF(COUNTIFS($D$7:$D813,$D813,$F$7:$F813,$F813)=1,1,0))</f>
        <v/>
      </c>
    </row>
    <row r="814" customFormat="false" ht="15" hidden="false" customHeight="true" outlineLevel="0" collapsed="false">
      <c r="A814" s="56"/>
      <c r="B814" s="56"/>
      <c r="C814" s="56"/>
      <c r="D814" s="56"/>
      <c r="E814" s="16"/>
      <c r="F814" s="16"/>
      <c r="G814" s="67"/>
      <c r="H814" s="67"/>
      <c r="I814" s="67"/>
      <c r="J814" s="67"/>
      <c r="K814" s="56"/>
      <c r="L814" s="56"/>
      <c r="M814" s="66" t="str">
        <f aca="false">IF(OR($D814="",$F814=""),"",IF(COUNTIFS($D$7:$D814,$D814,$F$7:$F814,$F814)=1,1,0))</f>
        <v/>
      </c>
    </row>
    <row r="815" customFormat="false" ht="15" hidden="false" customHeight="true" outlineLevel="0" collapsed="false">
      <c r="A815" s="38"/>
      <c r="B815" s="38"/>
      <c r="C815" s="38"/>
      <c r="D815" s="38"/>
      <c r="E815" s="13"/>
      <c r="F815" s="13"/>
      <c r="G815" s="67"/>
      <c r="H815" s="67"/>
      <c r="I815" s="67"/>
      <c r="J815" s="67"/>
      <c r="K815" s="38"/>
      <c r="L815" s="38"/>
      <c r="M815" s="66" t="str">
        <f aca="false">IF(OR($D815="",$F815=""),"",IF(COUNTIFS($D$7:$D815,$D815,$F$7:$F815,$F815)=1,1,0))</f>
        <v/>
      </c>
    </row>
    <row r="816" customFormat="false" ht="15" hidden="false" customHeight="true" outlineLevel="0" collapsed="false">
      <c r="A816" s="56"/>
      <c r="B816" s="56"/>
      <c r="C816" s="56"/>
      <c r="D816" s="56"/>
      <c r="E816" s="16"/>
      <c r="F816" s="16"/>
      <c r="G816" s="67"/>
      <c r="H816" s="67"/>
      <c r="I816" s="67"/>
      <c r="J816" s="67"/>
      <c r="K816" s="56"/>
      <c r="L816" s="56"/>
      <c r="M816" s="66" t="str">
        <f aca="false">IF(OR($D816="",$F816=""),"",IF(COUNTIFS($D$7:$D816,$D816,$F$7:$F816,$F816)=1,1,0))</f>
        <v/>
      </c>
    </row>
    <row r="817" customFormat="false" ht="15" hidden="false" customHeight="true" outlineLevel="0" collapsed="false">
      <c r="A817" s="38"/>
      <c r="B817" s="38"/>
      <c r="C817" s="38"/>
      <c r="D817" s="38"/>
      <c r="E817" s="13"/>
      <c r="F817" s="13"/>
      <c r="G817" s="67"/>
      <c r="H817" s="67"/>
      <c r="I817" s="67"/>
      <c r="J817" s="67"/>
      <c r="K817" s="38"/>
      <c r="L817" s="38"/>
      <c r="M817" s="66" t="str">
        <f aca="false">IF(OR($D817="",$F817=""),"",IF(COUNTIFS($D$7:$D817,$D817,$F$7:$F817,$F817)=1,1,0))</f>
        <v/>
      </c>
    </row>
    <row r="818" customFormat="false" ht="15" hidden="false" customHeight="true" outlineLevel="0" collapsed="false">
      <c r="A818" s="56"/>
      <c r="B818" s="56"/>
      <c r="C818" s="56"/>
      <c r="D818" s="56"/>
      <c r="E818" s="16"/>
      <c r="F818" s="16"/>
      <c r="G818" s="67"/>
      <c r="H818" s="67"/>
      <c r="I818" s="67"/>
      <c r="J818" s="67"/>
      <c r="K818" s="56"/>
      <c r="L818" s="56"/>
      <c r="M818" s="66" t="str">
        <f aca="false">IF(OR($D818="",$F818=""),"",IF(COUNTIFS($D$7:$D818,$D818,$F$7:$F818,$F818)=1,1,0))</f>
        <v/>
      </c>
    </row>
    <row r="819" customFormat="false" ht="15" hidden="false" customHeight="true" outlineLevel="0" collapsed="false">
      <c r="A819" s="38"/>
      <c r="B819" s="38"/>
      <c r="C819" s="38"/>
      <c r="D819" s="38"/>
      <c r="E819" s="13"/>
      <c r="F819" s="13"/>
      <c r="G819" s="67"/>
      <c r="H819" s="67"/>
      <c r="I819" s="67"/>
      <c r="J819" s="67"/>
      <c r="K819" s="38"/>
      <c r="L819" s="38"/>
      <c r="M819" s="66" t="str">
        <f aca="false">IF(OR($D819="",$F819=""),"",IF(COUNTIFS($D$7:$D819,$D819,$F$7:$F819,$F819)=1,1,0))</f>
        <v/>
      </c>
    </row>
    <row r="820" customFormat="false" ht="15" hidden="false" customHeight="true" outlineLevel="0" collapsed="false">
      <c r="A820" s="56"/>
      <c r="B820" s="56"/>
      <c r="C820" s="56"/>
      <c r="D820" s="56"/>
      <c r="E820" s="16"/>
      <c r="F820" s="16"/>
      <c r="G820" s="67"/>
      <c r="H820" s="67"/>
      <c r="I820" s="67"/>
      <c r="J820" s="67"/>
      <c r="K820" s="56"/>
      <c r="L820" s="56"/>
      <c r="M820" s="66" t="str">
        <f aca="false">IF(OR($D820="",$F820=""),"",IF(COUNTIFS($D$7:$D820,$D820,$F$7:$F820,$F820)=1,1,0))</f>
        <v/>
      </c>
    </row>
    <row r="821" customFormat="false" ht="15" hidden="false" customHeight="true" outlineLevel="0" collapsed="false">
      <c r="A821" s="38"/>
      <c r="B821" s="38"/>
      <c r="C821" s="38"/>
      <c r="D821" s="38"/>
      <c r="E821" s="13"/>
      <c r="F821" s="13"/>
      <c r="G821" s="67"/>
      <c r="H821" s="67"/>
      <c r="I821" s="67"/>
      <c r="J821" s="67"/>
      <c r="K821" s="38"/>
      <c r="L821" s="38"/>
      <c r="M821" s="66" t="str">
        <f aca="false">IF(OR($D821="",$F821=""),"",IF(COUNTIFS($D$7:$D821,$D821,$F$7:$F821,$F821)=1,1,0))</f>
        <v/>
      </c>
    </row>
    <row r="822" customFormat="false" ht="15" hidden="false" customHeight="true" outlineLevel="0" collapsed="false">
      <c r="A822" s="56"/>
      <c r="B822" s="56"/>
      <c r="C822" s="56"/>
      <c r="D822" s="56"/>
      <c r="E822" s="16"/>
      <c r="F822" s="16"/>
      <c r="G822" s="67"/>
      <c r="H822" s="67"/>
      <c r="I822" s="67"/>
      <c r="J822" s="67"/>
      <c r="K822" s="56"/>
      <c r="L822" s="56"/>
      <c r="M822" s="66" t="str">
        <f aca="false">IF(OR($D822="",$F822=""),"",IF(COUNTIFS($D$7:$D822,$D822,$F$7:$F822,$F822)=1,1,0))</f>
        <v/>
      </c>
    </row>
    <row r="823" customFormat="false" ht="15" hidden="false" customHeight="true" outlineLevel="0" collapsed="false">
      <c r="A823" s="38"/>
      <c r="B823" s="38"/>
      <c r="C823" s="38"/>
      <c r="D823" s="38"/>
      <c r="E823" s="13"/>
      <c r="F823" s="13"/>
      <c r="G823" s="67"/>
      <c r="H823" s="67"/>
      <c r="I823" s="67"/>
      <c r="J823" s="67"/>
      <c r="K823" s="38"/>
      <c r="L823" s="38"/>
      <c r="M823" s="66" t="str">
        <f aca="false">IF(OR($D823="",$F823=""),"",IF(COUNTIFS($D$7:$D823,$D823,$F$7:$F823,$F823)=1,1,0))</f>
        <v/>
      </c>
    </row>
    <row r="824" customFormat="false" ht="15" hidden="false" customHeight="true" outlineLevel="0" collapsed="false">
      <c r="A824" s="56"/>
      <c r="B824" s="56"/>
      <c r="C824" s="56"/>
      <c r="D824" s="56"/>
      <c r="E824" s="16"/>
      <c r="F824" s="16"/>
      <c r="G824" s="67"/>
      <c r="H824" s="67"/>
      <c r="I824" s="67"/>
      <c r="J824" s="67"/>
      <c r="K824" s="56"/>
      <c r="L824" s="56"/>
      <c r="M824" s="66" t="str">
        <f aca="false">IF(OR($D824="",$F824=""),"",IF(COUNTIFS($D$7:$D824,$D824,$F$7:$F824,$F824)=1,1,0))</f>
        <v/>
      </c>
    </row>
    <row r="825" customFormat="false" ht="15" hidden="false" customHeight="true" outlineLevel="0" collapsed="false">
      <c r="A825" s="38"/>
      <c r="B825" s="38"/>
      <c r="C825" s="38"/>
      <c r="D825" s="38"/>
      <c r="E825" s="13"/>
      <c r="F825" s="13"/>
      <c r="G825" s="67"/>
      <c r="H825" s="67"/>
      <c r="I825" s="67"/>
      <c r="J825" s="67"/>
      <c r="K825" s="38"/>
      <c r="L825" s="38"/>
      <c r="M825" s="66" t="str">
        <f aca="false">IF(OR($D825="",$F825=""),"",IF(COUNTIFS($D$7:$D825,$D825,$F$7:$F825,$F825)=1,1,0))</f>
        <v/>
      </c>
    </row>
    <row r="826" customFormat="false" ht="15" hidden="false" customHeight="true" outlineLevel="0" collapsed="false">
      <c r="A826" s="56"/>
      <c r="B826" s="56"/>
      <c r="C826" s="56"/>
      <c r="D826" s="56"/>
      <c r="E826" s="16"/>
      <c r="F826" s="16"/>
      <c r="G826" s="67"/>
      <c r="H826" s="67"/>
      <c r="I826" s="67"/>
      <c r="J826" s="67"/>
      <c r="K826" s="56"/>
      <c r="L826" s="56"/>
      <c r="M826" s="66" t="str">
        <f aca="false">IF(OR($D826="",$F826=""),"",IF(COUNTIFS($D$7:$D826,$D826,$F$7:$F826,$F826)=1,1,0))</f>
        <v/>
      </c>
    </row>
    <row r="827" customFormat="false" ht="15" hidden="false" customHeight="true" outlineLevel="0" collapsed="false">
      <c r="A827" s="38"/>
      <c r="B827" s="38"/>
      <c r="C827" s="38"/>
      <c r="D827" s="38"/>
      <c r="E827" s="13"/>
      <c r="F827" s="13"/>
      <c r="G827" s="67"/>
      <c r="H827" s="67"/>
      <c r="I827" s="67"/>
      <c r="J827" s="67"/>
      <c r="K827" s="38"/>
      <c r="L827" s="38"/>
      <c r="M827" s="66" t="str">
        <f aca="false">IF(OR($D827="",$F827=""),"",IF(COUNTIFS($D$7:$D827,$D827,$F$7:$F827,$F827)=1,1,0))</f>
        <v/>
      </c>
    </row>
    <row r="828" customFormat="false" ht="15" hidden="false" customHeight="true" outlineLevel="0" collapsed="false">
      <c r="A828" s="56"/>
      <c r="B828" s="56"/>
      <c r="C828" s="56"/>
      <c r="D828" s="56"/>
      <c r="E828" s="16"/>
      <c r="F828" s="16"/>
      <c r="G828" s="67"/>
      <c r="H828" s="67"/>
      <c r="I828" s="67"/>
      <c r="J828" s="67"/>
      <c r="K828" s="56"/>
      <c r="L828" s="56"/>
      <c r="M828" s="66" t="str">
        <f aca="false">IF(OR($D828="",$F828=""),"",IF(COUNTIFS($D$7:$D828,$D828,$F$7:$F828,$F828)=1,1,0))</f>
        <v/>
      </c>
    </row>
    <row r="829" customFormat="false" ht="15" hidden="false" customHeight="true" outlineLevel="0" collapsed="false">
      <c r="A829" s="38"/>
      <c r="B829" s="38"/>
      <c r="C829" s="38"/>
      <c r="D829" s="38"/>
      <c r="E829" s="13"/>
      <c r="F829" s="13"/>
      <c r="G829" s="67"/>
      <c r="H829" s="67"/>
      <c r="I829" s="67"/>
      <c r="J829" s="67"/>
      <c r="K829" s="38"/>
      <c r="L829" s="38"/>
      <c r="M829" s="66" t="str">
        <f aca="false">IF(OR($D829="",$F829=""),"",IF(COUNTIFS($D$7:$D829,$D829,$F$7:$F829,$F829)=1,1,0))</f>
        <v/>
      </c>
    </row>
    <row r="830" customFormat="false" ht="15" hidden="false" customHeight="true" outlineLevel="0" collapsed="false">
      <c r="A830" s="56"/>
      <c r="B830" s="56"/>
      <c r="C830" s="56"/>
      <c r="D830" s="56"/>
      <c r="E830" s="16"/>
      <c r="F830" s="16"/>
      <c r="G830" s="67"/>
      <c r="H830" s="67"/>
      <c r="I830" s="67"/>
      <c r="J830" s="67"/>
      <c r="K830" s="56"/>
      <c r="L830" s="56"/>
      <c r="M830" s="66" t="str">
        <f aca="false">IF(OR($D830="",$F830=""),"",IF(COUNTIFS($D$7:$D830,$D830,$F$7:$F830,$F830)=1,1,0))</f>
        <v/>
      </c>
    </row>
    <row r="831" customFormat="false" ht="15" hidden="false" customHeight="true" outlineLevel="0" collapsed="false">
      <c r="A831" s="38"/>
      <c r="B831" s="38"/>
      <c r="C831" s="38"/>
      <c r="D831" s="38"/>
      <c r="E831" s="13"/>
      <c r="F831" s="13"/>
      <c r="G831" s="67"/>
      <c r="H831" s="67"/>
      <c r="I831" s="67"/>
      <c r="J831" s="67"/>
      <c r="K831" s="38"/>
      <c r="L831" s="38"/>
      <c r="M831" s="66" t="str">
        <f aca="false">IF(OR($D831="",$F831=""),"",IF(COUNTIFS($D$7:$D831,$D831,$F$7:$F831,$F831)=1,1,0))</f>
        <v/>
      </c>
    </row>
    <row r="832" customFormat="false" ht="15" hidden="false" customHeight="true" outlineLevel="0" collapsed="false">
      <c r="A832" s="56"/>
      <c r="B832" s="56"/>
      <c r="C832" s="56"/>
      <c r="D832" s="56"/>
      <c r="E832" s="16"/>
      <c r="F832" s="16"/>
      <c r="G832" s="67"/>
      <c r="H832" s="67"/>
      <c r="I832" s="67"/>
      <c r="J832" s="67"/>
      <c r="K832" s="56"/>
      <c r="L832" s="56"/>
      <c r="M832" s="66" t="str">
        <f aca="false">IF(OR($D832="",$F832=""),"",IF(COUNTIFS($D$7:$D832,$D832,$F$7:$F832,$F832)=1,1,0))</f>
        <v/>
      </c>
    </row>
    <row r="833" customFormat="false" ht="15" hidden="false" customHeight="true" outlineLevel="0" collapsed="false">
      <c r="A833" s="38"/>
      <c r="B833" s="38"/>
      <c r="C833" s="38"/>
      <c r="D833" s="38"/>
      <c r="E833" s="13"/>
      <c r="F833" s="13"/>
      <c r="G833" s="67"/>
      <c r="H833" s="67"/>
      <c r="I833" s="67"/>
      <c r="J833" s="67"/>
      <c r="K833" s="38"/>
      <c r="L833" s="38"/>
      <c r="M833" s="66" t="str">
        <f aca="false">IF(OR($D833="",$F833=""),"",IF(COUNTIFS($D$7:$D833,$D833,$F$7:$F833,$F833)=1,1,0))</f>
        <v/>
      </c>
    </row>
    <row r="834" customFormat="false" ht="15" hidden="false" customHeight="true" outlineLevel="0" collapsed="false">
      <c r="A834" s="56"/>
      <c r="B834" s="56"/>
      <c r="C834" s="56"/>
      <c r="D834" s="56"/>
      <c r="E834" s="16"/>
      <c r="F834" s="16"/>
      <c r="G834" s="67"/>
      <c r="H834" s="67"/>
      <c r="I834" s="67"/>
      <c r="J834" s="67"/>
      <c r="K834" s="56"/>
      <c r="L834" s="56"/>
      <c r="M834" s="66" t="str">
        <f aca="false">IF(OR($D834="",$F834=""),"",IF(COUNTIFS($D$7:$D834,$D834,$F$7:$F834,$F834)=1,1,0))</f>
        <v/>
      </c>
    </row>
    <row r="835" customFormat="false" ht="15" hidden="false" customHeight="true" outlineLevel="0" collapsed="false">
      <c r="A835" s="38"/>
      <c r="B835" s="38"/>
      <c r="C835" s="38"/>
      <c r="D835" s="38"/>
      <c r="E835" s="13"/>
      <c r="F835" s="13"/>
      <c r="G835" s="67"/>
      <c r="H835" s="67"/>
      <c r="I835" s="67"/>
      <c r="J835" s="67"/>
      <c r="K835" s="38"/>
      <c r="L835" s="38"/>
      <c r="M835" s="66" t="str">
        <f aca="false">IF(OR($D835="",$F835=""),"",IF(COUNTIFS($D$7:$D835,$D835,$F$7:$F835,$F835)=1,1,0))</f>
        <v/>
      </c>
    </row>
    <row r="836" customFormat="false" ht="15" hidden="false" customHeight="true" outlineLevel="0" collapsed="false">
      <c r="A836" s="56"/>
      <c r="B836" s="56"/>
      <c r="C836" s="56"/>
      <c r="D836" s="56"/>
      <c r="E836" s="16"/>
      <c r="F836" s="16"/>
      <c r="G836" s="67"/>
      <c r="H836" s="67"/>
      <c r="I836" s="67"/>
      <c r="J836" s="67"/>
      <c r="K836" s="56"/>
      <c r="L836" s="56"/>
      <c r="M836" s="66" t="str">
        <f aca="false">IF(OR($D836="",$F836=""),"",IF(COUNTIFS($D$7:$D836,$D836,$F$7:$F836,$F836)=1,1,0))</f>
        <v/>
      </c>
    </row>
    <row r="837" customFormat="false" ht="15" hidden="false" customHeight="true" outlineLevel="0" collapsed="false">
      <c r="A837" s="38"/>
      <c r="B837" s="38"/>
      <c r="C837" s="38"/>
      <c r="D837" s="38"/>
      <c r="E837" s="13"/>
      <c r="F837" s="13"/>
      <c r="G837" s="67"/>
      <c r="H837" s="67"/>
      <c r="I837" s="67"/>
      <c r="J837" s="67"/>
      <c r="K837" s="38"/>
      <c r="L837" s="38"/>
      <c r="M837" s="66" t="str">
        <f aca="false">IF(OR($D837="",$F837=""),"",IF(COUNTIFS($D$7:$D837,$D837,$F$7:$F837,$F837)=1,1,0))</f>
        <v/>
      </c>
    </row>
    <row r="838" customFormat="false" ht="15" hidden="false" customHeight="true" outlineLevel="0" collapsed="false">
      <c r="A838" s="56"/>
      <c r="B838" s="56"/>
      <c r="C838" s="56"/>
      <c r="D838" s="56"/>
      <c r="E838" s="16"/>
      <c r="F838" s="16"/>
      <c r="G838" s="67"/>
      <c r="H838" s="67"/>
      <c r="I838" s="67"/>
      <c r="J838" s="67"/>
      <c r="K838" s="56"/>
      <c r="L838" s="56"/>
      <c r="M838" s="66" t="str">
        <f aca="false">IF(OR($D838="",$F838=""),"",IF(COUNTIFS($D$7:$D838,$D838,$F$7:$F838,$F838)=1,1,0))</f>
        <v/>
      </c>
    </row>
    <row r="839" customFormat="false" ht="15" hidden="false" customHeight="true" outlineLevel="0" collapsed="false">
      <c r="A839" s="38"/>
      <c r="B839" s="38"/>
      <c r="C839" s="38"/>
      <c r="D839" s="38"/>
      <c r="E839" s="13"/>
      <c r="F839" s="13"/>
      <c r="G839" s="67"/>
      <c r="H839" s="67"/>
      <c r="I839" s="67"/>
      <c r="J839" s="67"/>
      <c r="K839" s="38"/>
      <c r="L839" s="38"/>
      <c r="M839" s="66" t="str">
        <f aca="false">IF(OR($D839="",$F839=""),"",IF(COUNTIFS($D$7:$D839,$D839,$F$7:$F839,$F839)=1,1,0))</f>
        <v/>
      </c>
    </row>
    <row r="840" customFormat="false" ht="15" hidden="false" customHeight="true" outlineLevel="0" collapsed="false">
      <c r="A840" s="56"/>
      <c r="B840" s="56"/>
      <c r="C840" s="56"/>
      <c r="D840" s="56"/>
      <c r="E840" s="16"/>
      <c r="F840" s="16"/>
      <c r="G840" s="67"/>
      <c r="H840" s="67"/>
      <c r="I840" s="67"/>
      <c r="J840" s="67"/>
      <c r="K840" s="56"/>
      <c r="L840" s="56"/>
      <c r="M840" s="66" t="str">
        <f aca="false">IF(OR($D840="",$F840=""),"",IF(COUNTIFS($D$7:$D840,$D840,$F$7:$F840,$F840)=1,1,0))</f>
        <v/>
      </c>
    </row>
    <row r="841" customFormat="false" ht="15" hidden="false" customHeight="true" outlineLevel="0" collapsed="false">
      <c r="A841" s="38"/>
      <c r="B841" s="38"/>
      <c r="C841" s="38"/>
      <c r="D841" s="38"/>
      <c r="E841" s="13"/>
      <c r="F841" s="13"/>
      <c r="G841" s="67"/>
      <c r="H841" s="67"/>
      <c r="I841" s="67"/>
      <c r="J841" s="67"/>
      <c r="K841" s="38"/>
      <c r="L841" s="38"/>
      <c r="M841" s="66" t="str">
        <f aca="false">IF(OR($D841="",$F841=""),"",IF(COUNTIFS($D$7:$D841,$D841,$F$7:$F841,$F841)=1,1,0))</f>
        <v/>
      </c>
    </row>
    <row r="842" customFormat="false" ht="15" hidden="false" customHeight="true" outlineLevel="0" collapsed="false">
      <c r="A842" s="56"/>
      <c r="B842" s="56"/>
      <c r="C842" s="56"/>
      <c r="D842" s="56"/>
      <c r="E842" s="16"/>
      <c r="F842" s="16"/>
      <c r="G842" s="67"/>
      <c r="H842" s="67"/>
      <c r="I842" s="67"/>
      <c r="J842" s="67"/>
      <c r="K842" s="56"/>
      <c r="L842" s="56"/>
      <c r="M842" s="66" t="str">
        <f aca="false">IF(OR($D842="",$F842=""),"",IF(COUNTIFS($D$7:$D842,$D842,$F$7:$F842,$F842)=1,1,0))</f>
        <v/>
      </c>
    </row>
    <row r="843" customFormat="false" ht="15" hidden="false" customHeight="true" outlineLevel="0" collapsed="false">
      <c r="A843" s="38"/>
      <c r="B843" s="38"/>
      <c r="C843" s="38"/>
      <c r="D843" s="38"/>
      <c r="E843" s="13"/>
      <c r="F843" s="13"/>
      <c r="G843" s="67"/>
      <c r="H843" s="67"/>
      <c r="I843" s="67"/>
      <c r="J843" s="67"/>
      <c r="K843" s="38"/>
      <c r="L843" s="38"/>
      <c r="M843" s="66" t="str">
        <f aca="false">IF(OR($D843="",$F843=""),"",IF(COUNTIFS($D$7:$D843,$D843,$F$7:$F843,$F843)=1,1,0))</f>
        <v/>
      </c>
    </row>
    <row r="844" customFormat="false" ht="15" hidden="false" customHeight="true" outlineLevel="0" collapsed="false">
      <c r="A844" s="56"/>
      <c r="B844" s="56"/>
      <c r="C844" s="56"/>
      <c r="D844" s="56"/>
      <c r="E844" s="16"/>
      <c r="F844" s="16"/>
      <c r="G844" s="67"/>
      <c r="H844" s="67"/>
      <c r="I844" s="67"/>
      <c r="J844" s="67"/>
      <c r="K844" s="56"/>
      <c r="L844" s="56"/>
      <c r="M844" s="66" t="str">
        <f aca="false">IF(OR($D844="",$F844=""),"",IF(COUNTIFS($D$7:$D844,$D844,$F$7:$F844,$F844)=1,1,0))</f>
        <v/>
      </c>
    </row>
    <row r="845" customFormat="false" ht="15" hidden="false" customHeight="true" outlineLevel="0" collapsed="false">
      <c r="A845" s="38"/>
      <c r="B845" s="38"/>
      <c r="C845" s="38"/>
      <c r="D845" s="38"/>
      <c r="E845" s="13"/>
      <c r="F845" s="13"/>
      <c r="G845" s="67"/>
      <c r="H845" s="67"/>
      <c r="I845" s="67"/>
      <c r="J845" s="67"/>
      <c r="K845" s="38"/>
      <c r="L845" s="38"/>
      <c r="M845" s="66" t="str">
        <f aca="false">IF(OR($D845="",$F845=""),"",IF(COUNTIFS($D$7:$D845,$D845,$F$7:$F845,$F845)=1,1,0))</f>
        <v/>
      </c>
    </row>
    <row r="846" customFormat="false" ht="15" hidden="false" customHeight="true" outlineLevel="0" collapsed="false">
      <c r="A846" s="56"/>
      <c r="B846" s="56"/>
      <c r="C846" s="56"/>
      <c r="D846" s="56"/>
      <c r="E846" s="16"/>
      <c r="F846" s="16"/>
      <c r="G846" s="67"/>
      <c r="H846" s="67"/>
      <c r="I846" s="67"/>
      <c r="J846" s="67"/>
      <c r="K846" s="56"/>
      <c r="L846" s="56"/>
      <c r="M846" s="66" t="str">
        <f aca="false">IF(OR($D846="",$F846=""),"",IF(COUNTIFS($D$7:$D846,$D846,$F$7:$F846,$F846)=1,1,0))</f>
        <v/>
      </c>
    </row>
    <row r="847" customFormat="false" ht="15" hidden="false" customHeight="true" outlineLevel="0" collapsed="false">
      <c r="A847" s="38"/>
      <c r="B847" s="38"/>
      <c r="C847" s="38"/>
      <c r="D847" s="38"/>
      <c r="E847" s="13"/>
      <c r="F847" s="13"/>
      <c r="G847" s="67"/>
      <c r="H847" s="67"/>
      <c r="I847" s="67"/>
      <c r="J847" s="67"/>
      <c r="K847" s="38"/>
      <c r="L847" s="38"/>
      <c r="M847" s="66" t="str">
        <f aca="false">IF(OR($D847="",$F847=""),"",IF(COUNTIFS($D$7:$D847,$D847,$F$7:$F847,$F847)=1,1,0))</f>
        <v/>
      </c>
    </row>
    <row r="848" customFormat="false" ht="15" hidden="false" customHeight="true" outlineLevel="0" collapsed="false">
      <c r="A848" s="56"/>
      <c r="B848" s="56"/>
      <c r="C848" s="56"/>
      <c r="D848" s="56"/>
      <c r="E848" s="16"/>
      <c r="F848" s="16"/>
      <c r="G848" s="67"/>
      <c r="H848" s="67"/>
      <c r="I848" s="67"/>
      <c r="J848" s="67"/>
      <c r="K848" s="56"/>
      <c r="L848" s="56"/>
      <c r="M848" s="66" t="str">
        <f aca="false">IF(OR($D848="",$F848=""),"",IF(COUNTIFS($D$7:$D848,$D848,$F$7:$F848,$F848)=1,1,0))</f>
        <v/>
      </c>
    </row>
    <row r="849" customFormat="false" ht="15" hidden="false" customHeight="true" outlineLevel="0" collapsed="false">
      <c r="A849" s="38"/>
      <c r="B849" s="38"/>
      <c r="C849" s="38"/>
      <c r="D849" s="38"/>
      <c r="E849" s="13"/>
      <c r="F849" s="13"/>
      <c r="G849" s="67"/>
      <c r="H849" s="67"/>
      <c r="I849" s="67"/>
      <c r="J849" s="67"/>
      <c r="K849" s="38"/>
      <c r="L849" s="38"/>
      <c r="M849" s="66" t="str">
        <f aca="false">IF(OR($D849="",$F849=""),"",IF(COUNTIFS($D$7:$D849,$D849,$F$7:$F849,$F849)=1,1,0))</f>
        <v/>
      </c>
    </row>
    <row r="850" customFormat="false" ht="15" hidden="false" customHeight="true" outlineLevel="0" collapsed="false">
      <c r="A850" s="56"/>
      <c r="B850" s="56"/>
      <c r="C850" s="56"/>
      <c r="D850" s="56"/>
      <c r="E850" s="16"/>
      <c r="F850" s="16"/>
      <c r="G850" s="67"/>
      <c r="H850" s="67"/>
      <c r="I850" s="67"/>
      <c r="J850" s="67"/>
      <c r="K850" s="56"/>
      <c r="L850" s="56"/>
      <c r="M850" s="66" t="str">
        <f aca="false">IF(OR($D850="",$F850=""),"",IF(COUNTIFS($D$7:$D850,$D850,$F$7:$F850,$F850)=1,1,0))</f>
        <v/>
      </c>
    </row>
    <row r="851" customFormat="false" ht="15" hidden="false" customHeight="true" outlineLevel="0" collapsed="false">
      <c r="A851" s="38"/>
      <c r="B851" s="38"/>
      <c r="C851" s="38"/>
      <c r="D851" s="38"/>
      <c r="E851" s="13"/>
      <c r="F851" s="13"/>
      <c r="G851" s="67"/>
      <c r="H851" s="67"/>
      <c r="I851" s="67"/>
      <c r="J851" s="67"/>
      <c r="K851" s="38"/>
      <c r="L851" s="38"/>
      <c r="M851" s="66" t="str">
        <f aca="false">IF(OR($D851="",$F851=""),"",IF(COUNTIFS($D$7:$D851,$D851,$F$7:$F851,$F851)=1,1,0))</f>
        <v/>
      </c>
    </row>
    <row r="852" customFormat="false" ht="15" hidden="false" customHeight="true" outlineLevel="0" collapsed="false">
      <c r="A852" s="56"/>
      <c r="B852" s="56"/>
      <c r="C852" s="56"/>
      <c r="D852" s="56"/>
      <c r="E852" s="16"/>
      <c r="F852" s="16"/>
      <c r="G852" s="67"/>
      <c r="H852" s="67"/>
      <c r="I852" s="67"/>
      <c r="J852" s="67"/>
      <c r="K852" s="56"/>
      <c r="L852" s="56"/>
      <c r="M852" s="66" t="str">
        <f aca="false">IF(OR($D852="",$F852=""),"",IF(COUNTIFS($D$7:$D852,$D852,$F$7:$F852,$F852)=1,1,0))</f>
        <v/>
      </c>
    </row>
    <row r="853" customFormat="false" ht="15" hidden="false" customHeight="true" outlineLevel="0" collapsed="false">
      <c r="A853" s="38"/>
      <c r="B853" s="38"/>
      <c r="C853" s="38"/>
      <c r="D853" s="38"/>
      <c r="E853" s="13"/>
      <c r="F853" s="13"/>
      <c r="G853" s="67"/>
      <c r="H853" s="67"/>
      <c r="I853" s="67"/>
      <c r="J853" s="67"/>
      <c r="K853" s="38"/>
      <c r="L853" s="38"/>
      <c r="M853" s="66" t="str">
        <f aca="false">IF(OR($D853="",$F853=""),"",IF(COUNTIFS($D$7:$D853,$D853,$F$7:$F853,$F853)=1,1,0))</f>
        <v/>
      </c>
    </row>
    <row r="854" customFormat="false" ht="15" hidden="false" customHeight="true" outlineLevel="0" collapsed="false">
      <c r="A854" s="56"/>
      <c r="B854" s="56"/>
      <c r="C854" s="56"/>
      <c r="D854" s="56"/>
      <c r="E854" s="16"/>
      <c r="F854" s="16"/>
      <c r="G854" s="67"/>
      <c r="H854" s="67"/>
      <c r="I854" s="67"/>
      <c r="J854" s="67"/>
      <c r="K854" s="56"/>
      <c r="L854" s="56"/>
      <c r="M854" s="66" t="str">
        <f aca="false">IF(OR($D854="",$F854=""),"",IF(COUNTIFS($D$7:$D854,$D854,$F$7:$F854,$F854)=1,1,0))</f>
        <v/>
      </c>
    </row>
    <row r="855" customFormat="false" ht="15" hidden="false" customHeight="true" outlineLevel="0" collapsed="false">
      <c r="A855" s="38"/>
      <c r="B855" s="38"/>
      <c r="C855" s="38"/>
      <c r="D855" s="38"/>
      <c r="E855" s="13"/>
      <c r="F855" s="13"/>
      <c r="G855" s="67"/>
      <c r="H855" s="67"/>
      <c r="I855" s="67"/>
      <c r="J855" s="67"/>
      <c r="K855" s="38"/>
      <c r="L855" s="38"/>
      <c r="M855" s="66" t="str">
        <f aca="false">IF(OR($D855="",$F855=""),"",IF(COUNTIFS($D$7:$D855,$D855,$F$7:$F855,$F855)=1,1,0))</f>
        <v/>
      </c>
    </row>
    <row r="856" customFormat="false" ht="15" hidden="false" customHeight="true" outlineLevel="0" collapsed="false">
      <c r="A856" s="56"/>
      <c r="B856" s="56"/>
      <c r="C856" s="56"/>
      <c r="D856" s="56"/>
      <c r="E856" s="16"/>
      <c r="F856" s="16"/>
      <c r="G856" s="67"/>
      <c r="H856" s="67"/>
      <c r="I856" s="67"/>
      <c r="J856" s="67"/>
      <c r="K856" s="56"/>
      <c r="L856" s="56"/>
      <c r="M856" s="66" t="str">
        <f aca="false">IF(OR($D856="",$F856=""),"",IF(COUNTIFS($D$7:$D856,$D856,$F$7:$F856,$F856)=1,1,0))</f>
        <v/>
      </c>
    </row>
    <row r="857" customFormat="false" ht="15" hidden="false" customHeight="true" outlineLevel="0" collapsed="false">
      <c r="A857" s="38"/>
      <c r="B857" s="38"/>
      <c r="C857" s="38"/>
      <c r="D857" s="38"/>
      <c r="E857" s="13"/>
      <c r="F857" s="13"/>
      <c r="G857" s="67"/>
      <c r="H857" s="67"/>
      <c r="I857" s="67"/>
      <c r="J857" s="67"/>
      <c r="K857" s="38"/>
      <c r="L857" s="38"/>
      <c r="M857" s="66" t="str">
        <f aca="false">IF(OR($D857="",$F857=""),"",IF(COUNTIFS($D$7:$D857,$D857,$F$7:$F857,$F857)=1,1,0))</f>
        <v/>
      </c>
    </row>
    <row r="858" customFormat="false" ht="15" hidden="false" customHeight="true" outlineLevel="0" collapsed="false">
      <c r="A858" s="56"/>
      <c r="B858" s="56"/>
      <c r="C858" s="56"/>
      <c r="D858" s="56"/>
      <c r="E858" s="16"/>
      <c r="F858" s="16"/>
      <c r="G858" s="67"/>
      <c r="H858" s="67"/>
      <c r="I858" s="67"/>
      <c r="J858" s="67"/>
      <c r="K858" s="56"/>
      <c r="L858" s="56"/>
      <c r="M858" s="66" t="str">
        <f aca="false">IF(OR($D858="",$F858=""),"",IF(COUNTIFS($D$7:$D858,$D858,$F$7:$F858,$F858)=1,1,0))</f>
        <v/>
      </c>
    </row>
    <row r="859" customFormat="false" ht="15" hidden="false" customHeight="true" outlineLevel="0" collapsed="false">
      <c r="A859" s="38"/>
      <c r="B859" s="38"/>
      <c r="C859" s="38"/>
      <c r="D859" s="38"/>
      <c r="E859" s="13"/>
      <c r="F859" s="13"/>
      <c r="G859" s="67"/>
      <c r="H859" s="67"/>
      <c r="I859" s="67"/>
      <c r="J859" s="67"/>
      <c r="K859" s="38"/>
      <c r="L859" s="38"/>
      <c r="M859" s="66" t="str">
        <f aca="false">IF(OR($D859="",$F859=""),"",IF(COUNTIFS($D$7:$D859,$D859,$F$7:$F859,$F859)=1,1,0))</f>
        <v/>
      </c>
    </row>
    <row r="860" customFormat="false" ht="15" hidden="false" customHeight="true" outlineLevel="0" collapsed="false">
      <c r="A860" s="56"/>
      <c r="B860" s="56"/>
      <c r="C860" s="56"/>
      <c r="D860" s="56"/>
      <c r="E860" s="16"/>
      <c r="F860" s="16"/>
      <c r="G860" s="67"/>
      <c r="H860" s="67"/>
      <c r="I860" s="67"/>
      <c r="J860" s="67"/>
      <c r="K860" s="56"/>
      <c r="L860" s="56"/>
      <c r="M860" s="66" t="str">
        <f aca="false">IF(OR($D860="",$F860=""),"",IF(COUNTIFS($D$7:$D860,$D860,$F$7:$F860,$F860)=1,1,0))</f>
        <v/>
      </c>
    </row>
    <row r="861" customFormat="false" ht="15" hidden="false" customHeight="true" outlineLevel="0" collapsed="false">
      <c r="A861" s="38"/>
      <c r="B861" s="38"/>
      <c r="C861" s="38"/>
      <c r="D861" s="38"/>
      <c r="E861" s="13"/>
      <c r="F861" s="13"/>
      <c r="G861" s="67"/>
      <c r="H861" s="67"/>
      <c r="I861" s="67"/>
      <c r="J861" s="67"/>
      <c r="K861" s="38"/>
      <c r="L861" s="38"/>
      <c r="M861" s="66" t="str">
        <f aca="false">IF(OR($D861="",$F861=""),"",IF(COUNTIFS($D$7:$D861,$D861,$F$7:$F861,$F861)=1,1,0))</f>
        <v/>
      </c>
    </row>
    <row r="862" customFormat="false" ht="15" hidden="false" customHeight="true" outlineLevel="0" collapsed="false">
      <c r="A862" s="56"/>
      <c r="B862" s="56"/>
      <c r="C862" s="56"/>
      <c r="D862" s="56"/>
      <c r="E862" s="16"/>
      <c r="F862" s="16"/>
      <c r="G862" s="67"/>
      <c r="H862" s="67"/>
      <c r="I862" s="67"/>
      <c r="J862" s="67"/>
      <c r="K862" s="56"/>
      <c r="L862" s="56"/>
      <c r="M862" s="66" t="str">
        <f aca="false">IF(OR($D862="",$F862=""),"",IF(COUNTIFS($D$7:$D862,$D862,$F$7:$F862,$F862)=1,1,0))</f>
        <v/>
      </c>
    </row>
    <row r="863" customFormat="false" ht="15" hidden="false" customHeight="true" outlineLevel="0" collapsed="false">
      <c r="A863" s="38"/>
      <c r="B863" s="38"/>
      <c r="C863" s="38"/>
      <c r="D863" s="38"/>
      <c r="E863" s="13"/>
      <c r="F863" s="13"/>
      <c r="G863" s="67"/>
      <c r="H863" s="67"/>
      <c r="I863" s="67"/>
      <c r="J863" s="67"/>
      <c r="K863" s="38"/>
      <c r="L863" s="38"/>
      <c r="M863" s="66" t="str">
        <f aca="false">IF(OR($D863="",$F863=""),"",IF(COUNTIFS($D$7:$D863,$D863,$F$7:$F863,$F863)=1,1,0))</f>
        <v/>
      </c>
    </row>
    <row r="864" customFormat="false" ht="15" hidden="false" customHeight="true" outlineLevel="0" collapsed="false">
      <c r="A864" s="56"/>
      <c r="B864" s="56"/>
      <c r="C864" s="56"/>
      <c r="D864" s="56"/>
      <c r="E864" s="16"/>
      <c r="F864" s="16"/>
      <c r="G864" s="67"/>
      <c r="H864" s="67"/>
      <c r="I864" s="67"/>
      <c r="J864" s="67"/>
      <c r="K864" s="56"/>
      <c r="L864" s="56"/>
      <c r="M864" s="66" t="str">
        <f aca="false">IF(OR($D864="",$F864=""),"",IF(COUNTIFS($D$7:$D864,$D864,$F$7:$F864,$F864)=1,1,0))</f>
        <v/>
      </c>
    </row>
    <row r="865" customFormat="false" ht="15" hidden="false" customHeight="true" outlineLevel="0" collapsed="false">
      <c r="A865" s="38"/>
      <c r="B865" s="38"/>
      <c r="C865" s="38"/>
      <c r="D865" s="38"/>
      <c r="E865" s="13"/>
      <c r="F865" s="13"/>
      <c r="G865" s="67"/>
      <c r="H865" s="67"/>
      <c r="I865" s="67"/>
      <c r="J865" s="67"/>
      <c r="K865" s="38"/>
      <c r="L865" s="38"/>
      <c r="M865" s="66" t="str">
        <f aca="false">IF(OR($D865="",$F865=""),"",IF(COUNTIFS($D$7:$D865,$D865,$F$7:$F865,$F865)=1,1,0))</f>
        <v/>
      </c>
    </row>
    <row r="866" customFormat="false" ht="15" hidden="false" customHeight="true" outlineLevel="0" collapsed="false">
      <c r="A866" s="56"/>
      <c r="B866" s="56"/>
      <c r="C866" s="56"/>
      <c r="D866" s="56"/>
      <c r="E866" s="16"/>
      <c r="F866" s="16"/>
      <c r="G866" s="67"/>
      <c r="H866" s="67"/>
      <c r="I866" s="67"/>
      <c r="J866" s="67"/>
      <c r="K866" s="56"/>
      <c r="L866" s="56"/>
      <c r="M866" s="66" t="str">
        <f aca="false">IF(OR($D866="",$F866=""),"",IF(COUNTIFS($D$7:$D866,$D866,$F$7:$F866,$F866)=1,1,0))</f>
        <v/>
      </c>
    </row>
    <row r="867" customFormat="false" ht="15" hidden="false" customHeight="true" outlineLevel="0" collapsed="false">
      <c r="A867" s="38"/>
      <c r="B867" s="38"/>
      <c r="C867" s="38"/>
      <c r="D867" s="38"/>
      <c r="E867" s="13"/>
      <c r="F867" s="13"/>
      <c r="G867" s="67"/>
      <c r="H867" s="67"/>
      <c r="I867" s="67"/>
      <c r="J867" s="67"/>
      <c r="K867" s="38"/>
      <c r="L867" s="38"/>
      <c r="M867" s="66" t="str">
        <f aca="false">IF(OR($D867="",$F867=""),"",IF(COUNTIFS($D$7:$D867,$D867,$F$7:$F867,$F867)=1,1,0))</f>
        <v/>
      </c>
    </row>
    <row r="868" customFormat="false" ht="15" hidden="false" customHeight="true" outlineLevel="0" collapsed="false">
      <c r="A868" s="56"/>
      <c r="B868" s="56"/>
      <c r="C868" s="56"/>
      <c r="D868" s="56"/>
      <c r="E868" s="16"/>
      <c r="F868" s="16"/>
      <c r="G868" s="67"/>
      <c r="H868" s="67"/>
      <c r="I868" s="67"/>
      <c r="J868" s="67"/>
      <c r="K868" s="56"/>
      <c r="L868" s="56"/>
      <c r="M868" s="66" t="str">
        <f aca="false">IF(OR($D868="",$F868=""),"",IF(COUNTIFS($D$7:$D868,$D868,$F$7:$F868,$F868)=1,1,0))</f>
        <v/>
      </c>
    </row>
    <row r="869" customFormat="false" ht="15" hidden="false" customHeight="true" outlineLevel="0" collapsed="false">
      <c r="A869" s="38"/>
      <c r="B869" s="38"/>
      <c r="C869" s="38"/>
      <c r="D869" s="38"/>
      <c r="E869" s="13"/>
      <c r="F869" s="13"/>
      <c r="G869" s="67"/>
      <c r="H869" s="67"/>
      <c r="I869" s="67"/>
      <c r="J869" s="67"/>
      <c r="K869" s="38"/>
      <c r="L869" s="38"/>
      <c r="M869" s="66" t="str">
        <f aca="false">IF(OR($D869="",$F869=""),"",IF(COUNTIFS($D$7:$D869,$D869,$F$7:$F869,$F869)=1,1,0))</f>
        <v/>
      </c>
    </row>
    <row r="870" customFormat="false" ht="15" hidden="false" customHeight="true" outlineLevel="0" collapsed="false">
      <c r="A870" s="56"/>
      <c r="B870" s="56"/>
      <c r="C870" s="56"/>
      <c r="D870" s="56"/>
      <c r="E870" s="16"/>
      <c r="F870" s="16"/>
      <c r="G870" s="67"/>
      <c r="H870" s="67"/>
      <c r="I870" s="67"/>
      <c r="J870" s="67"/>
      <c r="K870" s="56"/>
      <c r="L870" s="56"/>
      <c r="M870" s="66" t="str">
        <f aca="false">IF(OR($D870="",$F870=""),"",IF(COUNTIFS($D$7:$D870,$D870,$F$7:$F870,$F870)=1,1,0))</f>
        <v/>
      </c>
    </row>
    <row r="871" customFormat="false" ht="15" hidden="false" customHeight="true" outlineLevel="0" collapsed="false">
      <c r="A871" s="38"/>
      <c r="B871" s="38"/>
      <c r="C871" s="38"/>
      <c r="D871" s="38"/>
      <c r="E871" s="13"/>
      <c r="F871" s="13"/>
      <c r="G871" s="67"/>
      <c r="H871" s="67"/>
      <c r="I871" s="67"/>
      <c r="J871" s="67"/>
      <c r="K871" s="38"/>
      <c r="L871" s="38"/>
      <c r="M871" s="66" t="str">
        <f aca="false">IF(OR($D871="",$F871=""),"",IF(COUNTIFS($D$7:$D871,$D871,$F$7:$F871,$F871)=1,1,0))</f>
        <v/>
      </c>
    </row>
    <row r="872" customFormat="false" ht="15" hidden="false" customHeight="true" outlineLevel="0" collapsed="false">
      <c r="A872" s="56"/>
      <c r="B872" s="56"/>
      <c r="C872" s="56"/>
      <c r="D872" s="56"/>
      <c r="E872" s="16"/>
      <c r="F872" s="16"/>
      <c r="G872" s="67"/>
      <c r="H872" s="67"/>
      <c r="I872" s="67"/>
      <c r="J872" s="67"/>
      <c r="K872" s="56"/>
      <c r="L872" s="56"/>
      <c r="M872" s="66" t="str">
        <f aca="false">IF(OR($D872="",$F872=""),"",IF(COUNTIFS($D$7:$D872,$D872,$F$7:$F872,$F872)=1,1,0))</f>
        <v/>
      </c>
    </row>
    <row r="873" customFormat="false" ht="15" hidden="false" customHeight="true" outlineLevel="0" collapsed="false">
      <c r="A873" s="38"/>
      <c r="B873" s="38"/>
      <c r="C873" s="38"/>
      <c r="D873" s="38"/>
      <c r="E873" s="13"/>
      <c r="F873" s="13"/>
      <c r="G873" s="67"/>
      <c r="H873" s="67"/>
      <c r="I873" s="67"/>
      <c r="J873" s="67"/>
      <c r="K873" s="38"/>
      <c r="L873" s="38"/>
      <c r="M873" s="66" t="str">
        <f aca="false">IF(OR($D873="",$F873=""),"",IF(COUNTIFS($D$7:$D873,$D873,$F$7:$F873,$F873)=1,1,0))</f>
        <v/>
      </c>
    </row>
    <row r="874" customFormat="false" ht="15" hidden="false" customHeight="true" outlineLevel="0" collapsed="false">
      <c r="A874" s="56"/>
      <c r="B874" s="56"/>
      <c r="C874" s="56"/>
      <c r="D874" s="56"/>
      <c r="E874" s="16"/>
      <c r="F874" s="16"/>
      <c r="G874" s="67"/>
      <c r="H874" s="67"/>
      <c r="I874" s="67"/>
      <c r="J874" s="67"/>
      <c r="K874" s="56"/>
      <c r="L874" s="56"/>
      <c r="M874" s="66" t="str">
        <f aca="false">IF(OR($D874="",$F874=""),"",IF(COUNTIFS($D$7:$D874,$D874,$F$7:$F874,$F874)=1,1,0))</f>
        <v/>
      </c>
    </row>
    <row r="875" customFormat="false" ht="15" hidden="false" customHeight="true" outlineLevel="0" collapsed="false">
      <c r="A875" s="38"/>
      <c r="B875" s="38"/>
      <c r="C875" s="38"/>
      <c r="D875" s="38"/>
      <c r="E875" s="13"/>
      <c r="F875" s="13"/>
      <c r="G875" s="67"/>
      <c r="H875" s="67"/>
      <c r="I875" s="67"/>
      <c r="J875" s="67"/>
      <c r="K875" s="38"/>
      <c r="L875" s="38"/>
      <c r="M875" s="66" t="str">
        <f aca="false">IF(OR($D875="",$F875=""),"",IF(COUNTIFS($D$7:$D875,$D875,$F$7:$F875,$F875)=1,1,0))</f>
        <v/>
      </c>
    </row>
    <row r="876" customFormat="false" ht="15" hidden="false" customHeight="true" outlineLevel="0" collapsed="false">
      <c r="A876" s="56"/>
      <c r="B876" s="56"/>
      <c r="C876" s="56"/>
      <c r="D876" s="56"/>
      <c r="E876" s="16"/>
      <c r="F876" s="16"/>
      <c r="G876" s="67"/>
      <c r="H876" s="67"/>
      <c r="I876" s="67"/>
      <c r="J876" s="67"/>
      <c r="K876" s="56"/>
      <c r="L876" s="56"/>
      <c r="M876" s="66" t="str">
        <f aca="false">IF(OR($D876="",$F876=""),"",IF(COUNTIFS($D$7:$D876,$D876,$F$7:$F876,$F876)=1,1,0))</f>
        <v/>
      </c>
    </row>
    <row r="877" customFormat="false" ht="15" hidden="false" customHeight="true" outlineLevel="0" collapsed="false">
      <c r="A877" s="38"/>
      <c r="B877" s="38"/>
      <c r="C877" s="38"/>
      <c r="D877" s="38"/>
      <c r="E877" s="13"/>
      <c r="F877" s="13"/>
      <c r="G877" s="67"/>
      <c r="H877" s="67"/>
      <c r="I877" s="67"/>
      <c r="J877" s="67"/>
      <c r="K877" s="38"/>
      <c r="L877" s="38"/>
      <c r="M877" s="66" t="str">
        <f aca="false">IF(OR($D877="",$F877=""),"",IF(COUNTIFS($D$7:$D877,$D877,$F$7:$F877,$F877)=1,1,0))</f>
        <v/>
      </c>
    </row>
    <row r="878" customFormat="false" ht="15" hidden="false" customHeight="true" outlineLevel="0" collapsed="false">
      <c r="A878" s="56"/>
      <c r="B878" s="56"/>
      <c r="C878" s="56"/>
      <c r="D878" s="56"/>
      <c r="E878" s="16"/>
      <c r="F878" s="16"/>
      <c r="G878" s="67"/>
      <c r="H878" s="67"/>
      <c r="I878" s="67"/>
      <c r="J878" s="67"/>
      <c r="K878" s="56"/>
      <c r="L878" s="56"/>
      <c r="M878" s="66" t="str">
        <f aca="false">IF(OR($D878="",$F878=""),"",IF(COUNTIFS($D$7:$D878,$D878,$F$7:$F878,$F878)=1,1,0))</f>
        <v/>
      </c>
    </row>
    <row r="879" customFormat="false" ht="15" hidden="false" customHeight="true" outlineLevel="0" collapsed="false">
      <c r="A879" s="38"/>
      <c r="B879" s="38"/>
      <c r="C879" s="38"/>
      <c r="D879" s="38"/>
      <c r="E879" s="13"/>
      <c r="F879" s="13"/>
      <c r="G879" s="67"/>
      <c r="H879" s="67"/>
      <c r="I879" s="67"/>
      <c r="J879" s="67"/>
      <c r="K879" s="38"/>
      <c r="L879" s="38"/>
      <c r="M879" s="66" t="str">
        <f aca="false">IF(OR($D879="",$F879=""),"",IF(COUNTIFS($D$7:$D879,$D879,$F$7:$F879,$F879)=1,1,0))</f>
        <v/>
      </c>
    </row>
    <row r="880" customFormat="false" ht="15" hidden="false" customHeight="true" outlineLevel="0" collapsed="false">
      <c r="A880" s="56"/>
      <c r="B880" s="56"/>
      <c r="C880" s="56"/>
      <c r="D880" s="56"/>
      <c r="E880" s="16"/>
      <c r="F880" s="16"/>
      <c r="G880" s="67"/>
      <c r="H880" s="67"/>
      <c r="I880" s="67"/>
      <c r="J880" s="67"/>
      <c r="K880" s="56"/>
      <c r="L880" s="56"/>
      <c r="M880" s="66" t="str">
        <f aca="false">IF(OR($D880="",$F880=""),"",IF(COUNTIFS($D$7:$D880,$D880,$F$7:$F880,$F880)=1,1,0))</f>
        <v/>
      </c>
    </row>
    <row r="881" customFormat="false" ht="15" hidden="false" customHeight="true" outlineLevel="0" collapsed="false">
      <c r="A881" s="38"/>
      <c r="B881" s="38"/>
      <c r="C881" s="38"/>
      <c r="D881" s="38"/>
      <c r="E881" s="13"/>
      <c r="F881" s="13"/>
      <c r="G881" s="67"/>
      <c r="H881" s="67"/>
      <c r="I881" s="67"/>
      <c r="J881" s="67"/>
      <c r="K881" s="38"/>
      <c r="L881" s="38"/>
      <c r="M881" s="66" t="str">
        <f aca="false">IF(OR($D881="",$F881=""),"",IF(COUNTIFS($D$7:$D881,$D881,$F$7:$F881,$F881)=1,1,0))</f>
        <v/>
      </c>
    </row>
    <row r="882" customFormat="false" ht="15" hidden="false" customHeight="true" outlineLevel="0" collapsed="false">
      <c r="A882" s="56"/>
      <c r="B882" s="56"/>
      <c r="C882" s="56"/>
      <c r="D882" s="56"/>
      <c r="E882" s="16"/>
      <c r="F882" s="16"/>
      <c r="G882" s="67"/>
      <c r="H882" s="67"/>
      <c r="I882" s="67"/>
      <c r="J882" s="67"/>
      <c r="K882" s="56"/>
      <c r="L882" s="56"/>
      <c r="M882" s="66" t="str">
        <f aca="false">IF(OR($D882="",$F882=""),"",IF(COUNTIFS($D$7:$D882,$D882,$F$7:$F882,$F882)=1,1,0))</f>
        <v/>
      </c>
    </row>
    <row r="883" customFormat="false" ht="15" hidden="false" customHeight="true" outlineLevel="0" collapsed="false">
      <c r="A883" s="38"/>
      <c r="B883" s="38"/>
      <c r="C883" s="38"/>
      <c r="D883" s="38"/>
      <c r="E883" s="13"/>
      <c r="F883" s="13"/>
      <c r="G883" s="67"/>
      <c r="H883" s="67"/>
      <c r="I883" s="67"/>
      <c r="J883" s="67"/>
      <c r="K883" s="38"/>
      <c r="L883" s="38"/>
      <c r="M883" s="66" t="str">
        <f aca="false">IF(OR($D883="",$F883=""),"",IF(COUNTIFS($D$7:$D883,$D883,$F$7:$F883,$F883)=1,1,0))</f>
        <v/>
      </c>
    </row>
    <row r="884" customFormat="false" ht="15" hidden="false" customHeight="true" outlineLevel="0" collapsed="false">
      <c r="A884" s="56"/>
      <c r="B884" s="56"/>
      <c r="C884" s="56"/>
      <c r="D884" s="56"/>
      <c r="E884" s="16"/>
      <c r="F884" s="16"/>
      <c r="G884" s="67"/>
      <c r="H884" s="67"/>
      <c r="I884" s="67"/>
      <c r="J884" s="67"/>
      <c r="K884" s="56"/>
      <c r="L884" s="56"/>
      <c r="M884" s="66" t="str">
        <f aca="false">IF(OR($D884="",$F884=""),"",IF(COUNTIFS($D$7:$D884,$D884,$F$7:$F884,$F884)=1,1,0))</f>
        <v/>
      </c>
    </row>
    <row r="885" customFormat="false" ht="15" hidden="false" customHeight="true" outlineLevel="0" collapsed="false">
      <c r="A885" s="38"/>
      <c r="B885" s="38"/>
      <c r="C885" s="38"/>
      <c r="D885" s="38"/>
      <c r="E885" s="13"/>
      <c r="F885" s="13"/>
      <c r="G885" s="67"/>
      <c r="H885" s="67"/>
      <c r="I885" s="67"/>
      <c r="J885" s="67"/>
      <c r="K885" s="38"/>
      <c r="L885" s="38"/>
      <c r="M885" s="66" t="str">
        <f aca="false">IF(OR($D885="",$F885=""),"",IF(COUNTIFS($D$7:$D885,$D885,$F$7:$F885,$F885)=1,1,0))</f>
        <v/>
      </c>
    </row>
    <row r="886" customFormat="false" ht="15" hidden="false" customHeight="true" outlineLevel="0" collapsed="false">
      <c r="A886" s="56"/>
      <c r="B886" s="56"/>
      <c r="C886" s="56"/>
      <c r="D886" s="56"/>
      <c r="E886" s="16"/>
      <c r="F886" s="16"/>
      <c r="G886" s="67"/>
      <c r="H886" s="67"/>
      <c r="I886" s="67"/>
      <c r="J886" s="67"/>
      <c r="K886" s="56"/>
      <c r="L886" s="56"/>
      <c r="M886" s="66" t="str">
        <f aca="false">IF(OR($D886="",$F886=""),"",IF(COUNTIFS($D$7:$D886,$D886,$F$7:$F886,$F886)=1,1,0))</f>
        <v/>
      </c>
    </row>
    <row r="887" customFormat="false" ht="15" hidden="false" customHeight="true" outlineLevel="0" collapsed="false">
      <c r="A887" s="38"/>
      <c r="B887" s="38"/>
      <c r="C887" s="38"/>
      <c r="D887" s="38"/>
      <c r="E887" s="13"/>
      <c r="F887" s="13"/>
      <c r="G887" s="67"/>
      <c r="H887" s="67"/>
      <c r="I887" s="67"/>
      <c r="J887" s="67"/>
      <c r="K887" s="38"/>
      <c r="L887" s="38"/>
      <c r="M887" s="66" t="str">
        <f aca="false">IF(OR($D887="",$F887=""),"",IF(COUNTIFS($D$7:$D887,$D887,$F$7:$F887,$F887)=1,1,0))</f>
        <v/>
      </c>
    </row>
    <row r="888" customFormat="false" ht="15" hidden="false" customHeight="true" outlineLevel="0" collapsed="false">
      <c r="A888" s="56"/>
      <c r="B888" s="56"/>
      <c r="C888" s="56"/>
      <c r="D888" s="56"/>
      <c r="E888" s="16"/>
      <c r="F888" s="16"/>
      <c r="G888" s="67"/>
      <c r="H888" s="67"/>
      <c r="I888" s="67"/>
      <c r="J888" s="67"/>
      <c r="K888" s="56"/>
      <c r="L888" s="56"/>
      <c r="M888" s="66" t="str">
        <f aca="false">IF(OR($D888="",$F888=""),"",IF(COUNTIFS($D$7:$D888,$D888,$F$7:$F888,$F888)=1,1,0))</f>
        <v/>
      </c>
    </row>
    <row r="889" customFormat="false" ht="15" hidden="false" customHeight="true" outlineLevel="0" collapsed="false">
      <c r="A889" s="38"/>
      <c r="B889" s="38"/>
      <c r="C889" s="38"/>
      <c r="D889" s="38"/>
      <c r="E889" s="13"/>
      <c r="F889" s="13"/>
      <c r="G889" s="67"/>
      <c r="H889" s="67"/>
      <c r="I889" s="67"/>
      <c r="J889" s="67"/>
      <c r="K889" s="38"/>
      <c r="L889" s="38"/>
      <c r="M889" s="66" t="str">
        <f aca="false">IF(OR($D889="",$F889=""),"",IF(COUNTIFS($D$7:$D889,$D889,$F$7:$F889,$F889)=1,1,0))</f>
        <v/>
      </c>
    </row>
    <row r="890" customFormat="false" ht="15" hidden="false" customHeight="true" outlineLevel="0" collapsed="false">
      <c r="A890" s="56"/>
      <c r="B890" s="56"/>
      <c r="C890" s="56"/>
      <c r="D890" s="56"/>
      <c r="E890" s="16"/>
      <c r="F890" s="16"/>
      <c r="G890" s="67"/>
      <c r="H890" s="67"/>
      <c r="I890" s="67"/>
      <c r="J890" s="67"/>
      <c r="K890" s="56"/>
      <c r="L890" s="56"/>
      <c r="M890" s="66" t="str">
        <f aca="false">IF(OR($D890="",$F890=""),"",IF(COUNTIFS($D$7:$D890,$D890,$F$7:$F890,$F890)=1,1,0))</f>
        <v/>
      </c>
    </row>
    <row r="891" customFormat="false" ht="15" hidden="false" customHeight="true" outlineLevel="0" collapsed="false">
      <c r="A891" s="38"/>
      <c r="B891" s="38"/>
      <c r="C891" s="38"/>
      <c r="D891" s="38"/>
      <c r="E891" s="13"/>
      <c r="F891" s="13"/>
      <c r="G891" s="67"/>
      <c r="H891" s="67"/>
      <c r="I891" s="67"/>
      <c r="J891" s="67"/>
      <c r="K891" s="38"/>
      <c r="L891" s="38"/>
      <c r="M891" s="66" t="str">
        <f aca="false">IF(OR($D891="",$F891=""),"",IF(COUNTIFS($D$7:$D891,$D891,$F$7:$F891,$F891)=1,1,0))</f>
        <v/>
      </c>
    </row>
    <row r="892" customFormat="false" ht="15" hidden="false" customHeight="true" outlineLevel="0" collapsed="false">
      <c r="A892" s="56"/>
      <c r="B892" s="56"/>
      <c r="C892" s="56"/>
      <c r="D892" s="56"/>
      <c r="E892" s="16"/>
      <c r="F892" s="16"/>
      <c r="G892" s="67"/>
      <c r="H892" s="67"/>
      <c r="I892" s="67"/>
      <c r="J892" s="67"/>
      <c r="K892" s="56"/>
      <c r="L892" s="56"/>
      <c r="M892" s="66" t="str">
        <f aca="false">IF(OR($D892="",$F892=""),"",IF(COUNTIFS($D$7:$D892,$D892,$F$7:$F892,$F892)=1,1,0))</f>
        <v/>
      </c>
    </row>
    <row r="893" customFormat="false" ht="15" hidden="false" customHeight="true" outlineLevel="0" collapsed="false">
      <c r="A893" s="38"/>
      <c r="B893" s="38"/>
      <c r="C893" s="38"/>
      <c r="D893" s="38"/>
      <c r="E893" s="13"/>
      <c r="F893" s="13"/>
      <c r="G893" s="67"/>
      <c r="H893" s="67"/>
      <c r="I893" s="67"/>
      <c r="J893" s="67"/>
      <c r="K893" s="38"/>
      <c r="L893" s="38"/>
      <c r="M893" s="66" t="str">
        <f aca="false">IF(OR($D893="",$F893=""),"",IF(COUNTIFS($D$7:$D893,$D893,$F$7:$F893,$F893)=1,1,0))</f>
        <v/>
      </c>
    </row>
    <row r="894" customFormat="false" ht="15" hidden="false" customHeight="true" outlineLevel="0" collapsed="false">
      <c r="A894" s="56"/>
      <c r="B894" s="56"/>
      <c r="C894" s="56"/>
      <c r="D894" s="56"/>
      <c r="E894" s="16"/>
      <c r="F894" s="16"/>
      <c r="G894" s="67"/>
      <c r="H894" s="67"/>
      <c r="I894" s="67"/>
      <c r="J894" s="67"/>
      <c r="K894" s="56"/>
      <c r="L894" s="56"/>
      <c r="M894" s="66" t="str">
        <f aca="false">IF(OR($D894="",$F894=""),"",IF(COUNTIFS($D$7:$D894,$D894,$F$7:$F894,$F894)=1,1,0))</f>
        <v/>
      </c>
    </row>
    <row r="895" customFormat="false" ht="15" hidden="false" customHeight="true" outlineLevel="0" collapsed="false">
      <c r="A895" s="38"/>
      <c r="B895" s="38"/>
      <c r="C895" s="38"/>
      <c r="D895" s="38"/>
      <c r="E895" s="13"/>
      <c r="F895" s="13"/>
      <c r="G895" s="67"/>
      <c r="H895" s="67"/>
      <c r="I895" s="67"/>
      <c r="J895" s="67"/>
      <c r="K895" s="38"/>
      <c r="L895" s="38"/>
      <c r="M895" s="66" t="str">
        <f aca="false">IF(OR($D895="",$F895=""),"",IF(COUNTIFS($D$7:$D895,$D895,$F$7:$F895,$F895)=1,1,0))</f>
        <v/>
      </c>
    </row>
    <row r="896" customFormat="false" ht="15" hidden="false" customHeight="true" outlineLevel="0" collapsed="false">
      <c r="A896" s="56"/>
      <c r="B896" s="56"/>
      <c r="C896" s="56"/>
      <c r="D896" s="56"/>
      <c r="E896" s="16"/>
      <c r="F896" s="16"/>
      <c r="G896" s="67"/>
      <c r="H896" s="67"/>
      <c r="I896" s="67"/>
      <c r="J896" s="67"/>
      <c r="K896" s="56"/>
      <c r="L896" s="56"/>
      <c r="M896" s="66" t="str">
        <f aca="false">IF(OR($D896="",$F896=""),"",IF(COUNTIFS($D$7:$D896,$D896,$F$7:$F896,$F896)=1,1,0))</f>
        <v/>
      </c>
    </row>
    <row r="897" customFormat="false" ht="15" hidden="false" customHeight="true" outlineLevel="0" collapsed="false">
      <c r="A897" s="38"/>
      <c r="B897" s="38"/>
      <c r="C897" s="38"/>
      <c r="D897" s="38"/>
      <c r="E897" s="13"/>
      <c r="F897" s="13"/>
      <c r="G897" s="67"/>
      <c r="H897" s="67"/>
      <c r="I897" s="67"/>
      <c r="J897" s="67"/>
      <c r="K897" s="38"/>
      <c r="L897" s="38"/>
      <c r="M897" s="66" t="str">
        <f aca="false">IF(OR($D897="",$F897=""),"",IF(COUNTIFS($D$7:$D897,$D897,$F$7:$F897,$F897)=1,1,0))</f>
        <v/>
      </c>
    </row>
    <row r="898" customFormat="false" ht="15" hidden="false" customHeight="true" outlineLevel="0" collapsed="false">
      <c r="A898" s="56"/>
      <c r="B898" s="56"/>
      <c r="C898" s="56"/>
      <c r="D898" s="56"/>
      <c r="E898" s="16"/>
      <c r="F898" s="16"/>
      <c r="G898" s="67"/>
      <c r="H898" s="67"/>
      <c r="I898" s="67"/>
      <c r="J898" s="67"/>
      <c r="K898" s="56"/>
      <c r="L898" s="56"/>
      <c r="M898" s="66" t="str">
        <f aca="false">IF(OR($D898="",$F898=""),"",IF(COUNTIFS($D$7:$D898,$D898,$F$7:$F898,$F898)=1,1,0))</f>
        <v/>
      </c>
    </row>
    <row r="899" customFormat="false" ht="15" hidden="false" customHeight="true" outlineLevel="0" collapsed="false">
      <c r="A899" s="38"/>
      <c r="B899" s="38"/>
      <c r="C899" s="38"/>
      <c r="D899" s="38"/>
      <c r="E899" s="13"/>
      <c r="F899" s="13"/>
      <c r="G899" s="67"/>
      <c r="H899" s="67"/>
      <c r="I899" s="67"/>
      <c r="J899" s="67"/>
      <c r="K899" s="38"/>
      <c r="L899" s="38"/>
      <c r="M899" s="66" t="str">
        <f aca="false">IF(OR($D899="",$F899=""),"",IF(COUNTIFS($D$7:$D899,$D899,$F$7:$F899,$F899)=1,1,0))</f>
        <v/>
      </c>
    </row>
    <row r="900" customFormat="false" ht="15" hidden="false" customHeight="true" outlineLevel="0" collapsed="false">
      <c r="A900" s="56"/>
      <c r="B900" s="56"/>
      <c r="C900" s="56"/>
      <c r="D900" s="56"/>
      <c r="E900" s="16"/>
      <c r="F900" s="16"/>
      <c r="G900" s="67"/>
      <c r="H900" s="67"/>
      <c r="I900" s="67"/>
      <c r="J900" s="67"/>
      <c r="K900" s="56"/>
      <c r="L900" s="56"/>
      <c r="M900" s="66" t="str">
        <f aca="false">IF(OR($D900="",$F900=""),"",IF(COUNTIFS($D$7:$D900,$D900,$F$7:$F900,$F900)=1,1,0))</f>
        <v/>
      </c>
    </row>
    <row r="901" customFormat="false" ht="15" hidden="false" customHeight="true" outlineLevel="0" collapsed="false">
      <c r="A901" s="38"/>
      <c r="B901" s="38"/>
      <c r="C901" s="38"/>
      <c r="D901" s="38"/>
      <c r="E901" s="13"/>
      <c r="F901" s="13"/>
      <c r="G901" s="67"/>
      <c r="H901" s="67"/>
      <c r="I901" s="67"/>
      <c r="J901" s="67"/>
      <c r="K901" s="38"/>
      <c r="L901" s="38"/>
      <c r="M901" s="66" t="str">
        <f aca="false">IF(OR($D901="",$F901=""),"",IF(COUNTIFS($D$7:$D901,$D901,$F$7:$F901,$F901)=1,1,0))</f>
        <v/>
      </c>
    </row>
    <row r="902" customFormat="false" ht="15" hidden="false" customHeight="true" outlineLevel="0" collapsed="false">
      <c r="A902" s="56"/>
      <c r="B902" s="56"/>
      <c r="C902" s="56"/>
      <c r="D902" s="56"/>
      <c r="E902" s="16"/>
      <c r="F902" s="16"/>
      <c r="G902" s="67"/>
      <c r="H902" s="67"/>
      <c r="I902" s="67"/>
      <c r="J902" s="67"/>
      <c r="K902" s="56"/>
      <c r="L902" s="56"/>
      <c r="M902" s="66" t="str">
        <f aca="false">IF(OR($D902="",$F902=""),"",IF(COUNTIFS($D$7:$D902,$D902,$F$7:$F902,$F902)=1,1,0))</f>
        <v/>
      </c>
    </row>
    <row r="903" customFormat="false" ht="15" hidden="false" customHeight="true" outlineLevel="0" collapsed="false">
      <c r="A903" s="38"/>
      <c r="B903" s="38"/>
      <c r="C903" s="38"/>
      <c r="D903" s="38"/>
      <c r="E903" s="13"/>
      <c r="F903" s="13"/>
      <c r="G903" s="67"/>
      <c r="H903" s="67"/>
      <c r="I903" s="67"/>
      <c r="J903" s="67"/>
      <c r="K903" s="38"/>
      <c r="L903" s="38"/>
      <c r="M903" s="66" t="str">
        <f aca="false">IF(OR($D903="",$F903=""),"",IF(COUNTIFS($D$7:$D903,$D903,$F$7:$F903,$F903)=1,1,0))</f>
        <v/>
      </c>
    </row>
    <row r="904" customFormat="false" ht="15" hidden="false" customHeight="true" outlineLevel="0" collapsed="false">
      <c r="A904" s="56"/>
      <c r="B904" s="56"/>
      <c r="C904" s="56"/>
      <c r="D904" s="56"/>
      <c r="E904" s="16"/>
      <c r="F904" s="16"/>
      <c r="G904" s="67"/>
      <c r="H904" s="67"/>
      <c r="I904" s="67"/>
      <c r="J904" s="67"/>
      <c r="K904" s="56"/>
      <c r="L904" s="56"/>
      <c r="M904" s="66" t="str">
        <f aca="false">IF(OR($D904="",$F904=""),"",IF(COUNTIFS($D$7:$D904,$D904,$F$7:$F904,$F904)=1,1,0))</f>
        <v/>
      </c>
    </row>
    <row r="905" customFormat="false" ht="15" hidden="false" customHeight="true" outlineLevel="0" collapsed="false">
      <c r="A905" s="38"/>
      <c r="B905" s="38"/>
      <c r="C905" s="38"/>
      <c r="D905" s="38"/>
      <c r="E905" s="13"/>
      <c r="F905" s="13"/>
      <c r="G905" s="67"/>
      <c r="H905" s="67"/>
      <c r="I905" s="67"/>
      <c r="J905" s="67"/>
      <c r="K905" s="38"/>
      <c r="L905" s="38"/>
      <c r="M905" s="66" t="str">
        <f aca="false">IF(OR($D905="",$F905=""),"",IF(COUNTIFS($D$7:$D905,$D905,$F$7:$F905,$F905)=1,1,0))</f>
        <v/>
      </c>
    </row>
    <row r="906" customFormat="false" ht="15" hidden="false" customHeight="true" outlineLevel="0" collapsed="false">
      <c r="A906" s="56"/>
      <c r="B906" s="56"/>
      <c r="C906" s="56"/>
      <c r="D906" s="56"/>
      <c r="E906" s="16"/>
      <c r="F906" s="16"/>
      <c r="G906" s="67"/>
      <c r="H906" s="67"/>
      <c r="I906" s="67"/>
      <c r="J906" s="67"/>
      <c r="K906" s="56"/>
      <c r="L906" s="56"/>
      <c r="M906" s="66" t="str">
        <f aca="false">IF(OR($D906="",$F906=""),"",IF(COUNTIFS($D$7:$D906,$D906,$F$7:$F906,$F906)=1,1,0))</f>
        <v/>
      </c>
    </row>
    <row r="907" customFormat="false" ht="15" hidden="false" customHeight="true" outlineLevel="0" collapsed="false">
      <c r="A907" s="38"/>
      <c r="B907" s="38"/>
      <c r="C907" s="38"/>
      <c r="D907" s="38"/>
      <c r="E907" s="13"/>
      <c r="F907" s="13"/>
      <c r="G907" s="67"/>
      <c r="H907" s="67"/>
      <c r="I907" s="67"/>
      <c r="J907" s="67"/>
      <c r="K907" s="38"/>
      <c r="L907" s="38"/>
      <c r="M907" s="66" t="str">
        <f aca="false">IF(OR($D907="",$F907=""),"",IF(COUNTIFS($D$7:$D907,$D907,$F$7:$F907,$F907)=1,1,0))</f>
        <v/>
      </c>
    </row>
    <row r="908" customFormat="false" ht="15" hidden="false" customHeight="true" outlineLevel="0" collapsed="false">
      <c r="A908" s="56"/>
      <c r="B908" s="56"/>
      <c r="C908" s="56"/>
      <c r="D908" s="56"/>
      <c r="E908" s="16"/>
      <c r="F908" s="16"/>
      <c r="G908" s="67"/>
      <c r="H908" s="67"/>
      <c r="I908" s="67"/>
      <c r="J908" s="67"/>
      <c r="K908" s="56"/>
      <c r="L908" s="56"/>
      <c r="M908" s="66" t="str">
        <f aca="false">IF(OR($D908="",$F908=""),"",IF(COUNTIFS($D$7:$D908,$D908,$F$7:$F908,$F908)=1,1,0))</f>
        <v/>
      </c>
    </row>
    <row r="909" customFormat="false" ht="15" hidden="false" customHeight="true" outlineLevel="0" collapsed="false">
      <c r="A909" s="38"/>
      <c r="B909" s="38"/>
      <c r="C909" s="38"/>
      <c r="D909" s="38"/>
      <c r="E909" s="13"/>
      <c r="F909" s="13"/>
      <c r="G909" s="67"/>
      <c r="H909" s="67"/>
      <c r="I909" s="67"/>
      <c r="J909" s="67"/>
      <c r="K909" s="38"/>
      <c r="L909" s="38"/>
      <c r="M909" s="66" t="str">
        <f aca="false">IF(OR($D909="",$F909=""),"",IF(COUNTIFS($D$7:$D909,$D909,$F$7:$F909,$F909)=1,1,0))</f>
        <v/>
      </c>
    </row>
    <row r="910" customFormat="false" ht="15" hidden="false" customHeight="true" outlineLevel="0" collapsed="false">
      <c r="A910" s="56"/>
      <c r="B910" s="56"/>
      <c r="C910" s="56"/>
      <c r="D910" s="56"/>
      <c r="E910" s="16"/>
      <c r="F910" s="16"/>
      <c r="G910" s="67"/>
      <c r="H910" s="67"/>
      <c r="I910" s="67"/>
      <c r="J910" s="67"/>
      <c r="K910" s="56"/>
      <c r="L910" s="56"/>
      <c r="M910" s="66" t="str">
        <f aca="false">IF(OR($D910="",$F910=""),"",IF(COUNTIFS($D$7:$D910,$D910,$F$7:$F910,$F910)=1,1,0))</f>
        <v/>
      </c>
    </row>
    <row r="911" customFormat="false" ht="15" hidden="false" customHeight="true" outlineLevel="0" collapsed="false">
      <c r="A911" s="38"/>
      <c r="B911" s="38"/>
      <c r="C911" s="38"/>
      <c r="D911" s="38"/>
      <c r="E911" s="13"/>
      <c r="F911" s="13"/>
      <c r="G911" s="67"/>
      <c r="H911" s="67"/>
      <c r="I911" s="67"/>
      <c r="J911" s="67"/>
      <c r="K911" s="38"/>
      <c r="L911" s="38"/>
      <c r="M911" s="66" t="str">
        <f aca="false">IF(OR($D911="",$F911=""),"",IF(COUNTIFS($D$7:$D911,$D911,$F$7:$F911,$F911)=1,1,0))</f>
        <v/>
      </c>
    </row>
    <row r="912" customFormat="false" ht="15" hidden="false" customHeight="true" outlineLevel="0" collapsed="false">
      <c r="A912" s="56"/>
      <c r="B912" s="56"/>
      <c r="C912" s="56"/>
      <c r="D912" s="56"/>
      <c r="E912" s="16"/>
      <c r="F912" s="16"/>
      <c r="G912" s="67"/>
      <c r="H912" s="67"/>
      <c r="I912" s="67"/>
      <c r="J912" s="67"/>
      <c r="K912" s="56"/>
      <c r="L912" s="56"/>
      <c r="M912" s="66" t="str">
        <f aca="false">IF(OR($D912="",$F912=""),"",IF(COUNTIFS($D$7:$D912,$D912,$F$7:$F912,$F912)=1,1,0))</f>
        <v/>
      </c>
    </row>
    <row r="913" customFormat="false" ht="15" hidden="false" customHeight="true" outlineLevel="0" collapsed="false">
      <c r="A913" s="38"/>
      <c r="B913" s="38"/>
      <c r="C913" s="38"/>
      <c r="D913" s="38"/>
      <c r="E913" s="13"/>
      <c r="F913" s="13"/>
      <c r="G913" s="67"/>
      <c r="H913" s="67"/>
      <c r="I913" s="67"/>
      <c r="J913" s="67"/>
      <c r="K913" s="38"/>
      <c r="L913" s="38"/>
      <c r="M913" s="66" t="str">
        <f aca="false">IF(OR($D913="",$F913=""),"",IF(COUNTIFS($D$7:$D913,$D913,$F$7:$F913,$F913)=1,1,0))</f>
        <v/>
      </c>
    </row>
    <row r="914" customFormat="false" ht="15" hidden="false" customHeight="true" outlineLevel="0" collapsed="false">
      <c r="A914" s="56"/>
      <c r="B914" s="56"/>
      <c r="C914" s="56"/>
      <c r="D914" s="56"/>
      <c r="E914" s="16"/>
      <c r="F914" s="16"/>
      <c r="G914" s="67"/>
      <c r="H914" s="67"/>
      <c r="I914" s="67"/>
      <c r="J914" s="67"/>
      <c r="K914" s="56"/>
      <c r="L914" s="56"/>
      <c r="M914" s="66" t="str">
        <f aca="false">IF(OR($D914="",$F914=""),"",IF(COUNTIFS($D$7:$D914,$D914,$F$7:$F914,$F914)=1,1,0))</f>
        <v/>
      </c>
    </row>
    <row r="915" customFormat="false" ht="15" hidden="false" customHeight="true" outlineLevel="0" collapsed="false">
      <c r="A915" s="38"/>
      <c r="B915" s="38"/>
      <c r="C915" s="38"/>
      <c r="D915" s="38"/>
      <c r="E915" s="13"/>
      <c r="F915" s="13"/>
      <c r="G915" s="67"/>
      <c r="H915" s="67"/>
      <c r="I915" s="67"/>
      <c r="J915" s="67"/>
      <c r="K915" s="38"/>
      <c r="L915" s="38"/>
      <c r="M915" s="66" t="str">
        <f aca="false">IF(OR($D915="",$F915=""),"",IF(COUNTIFS($D$7:$D915,$D915,$F$7:$F915,$F915)=1,1,0))</f>
        <v/>
      </c>
    </row>
    <row r="916" customFormat="false" ht="15" hidden="false" customHeight="true" outlineLevel="0" collapsed="false">
      <c r="A916" s="56"/>
      <c r="B916" s="56"/>
      <c r="C916" s="56"/>
      <c r="D916" s="56"/>
      <c r="E916" s="16"/>
      <c r="F916" s="16"/>
      <c r="G916" s="67"/>
      <c r="H916" s="67"/>
      <c r="I916" s="67"/>
      <c r="J916" s="67"/>
      <c r="K916" s="56"/>
      <c r="L916" s="56"/>
      <c r="M916" s="66" t="str">
        <f aca="false">IF(OR($D916="",$F916=""),"",IF(COUNTIFS($D$7:$D916,$D916,$F$7:$F916,$F916)=1,1,0))</f>
        <v/>
      </c>
    </row>
    <row r="917" customFormat="false" ht="15" hidden="false" customHeight="true" outlineLevel="0" collapsed="false">
      <c r="A917" s="38"/>
      <c r="B917" s="38"/>
      <c r="C917" s="38"/>
      <c r="D917" s="38"/>
      <c r="E917" s="13"/>
      <c r="F917" s="13"/>
      <c r="G917" s="67"/>
      <c r="H917" s="67"/>
      <c r="I917" s="67"/>
      <c r="J917" s="67"/>
      <c r="K917" s="38"/>
      <c r="L917" s="38"/>
      <c r="M917" s="66" t="str">
        <f aca="false">IF(OR($D917="",$F917=""),"",IF(COUNTIFS($D$7:$D917,$D917,$F$7:$F917,$F917)=1,1,0))</f>
        <v/>
      </c>
    </row>
    <row r="918" customFormat="false" ht="15" hidden="false" customHeight="true" outlineLevel="0" collapsed="false">
      <c r="A918" s="56"/>
      <c r="B918" s="56"/>
      <c r="C918" s="56"/>
      <c r="D918" s="56"/>
      <c r="E918" s="16"/>
      <c r="F918" s="16"/>
      <c r="G918" s="67"/>
      <c r="H918" s="67"/>
      <c r="I918" s="67"/>
      <c r="J918" s="67"/>
      <c r="K918" s="56"/>
      <c r="L918" s="56"/>
      <c r="M918" s="66" t="str">
        <f aca="false">IF(OR($D918="",$F918=""),"",IF(COUNTIFS($D$7:$D918,$D918,$F$7:$F918,$F918)=1,1,0))</f>
        <v/>
      </c>
    </row>
    <row r="919" customFormat="false" ht="15" hidden="false" customHeight="true" outlineLevel="0" collapsed="false">
      <c r="A919" s="38"/>
      <c r="B919" s="38"/>
      <c r="C919" s="38"/>
      <c r="D919" s="38"/>
      <c r="E919" s="13"/>
      <c r="F919" s="13"/>
      <c r="G919" s="67"/>
      <c r="H919" s="67"/>
      <c r="I919" s="67"/>
      <c r="J919" s="67"/>
      <c r="K919" s="38"/>
      <c r="L919" s="38"/>
      <c r="M919" s="66" t="str">
        <f aca="false">IF(OR($D919="",$F919=""),"",IF(COUNTIFS($D$7:$D919,$D919,$F$7:$F919,$F919)=1,1,0))</f>
        <v/>
      </c>
    </row>
    <row r="920" customFormat="false" ht="15" hidden="false" customHeight="true" outlineLevel="0" collapsed="false">
      <c r="A920" s="56"/>
      <c r="B920" s="56"/>
      <c r="C920" s="56"/>
      <c r="D920" s="56"/>
      <c r="E920" s="16"/>
      <c r="F920" s="16"/>
      <c r="G920" s="67"/>
      <c r="H920" s="67"/>
      <c r="I920" s="67"/>
      <c r="J920" s="67"/>
      <c r="K920" s="56"/>
      <c r="L920" s="56"/>
      <c r="M920" s="66" t="str">
        <f aca="false">IF(OR($D920="",$F920=""),"",IF(COUNTIFS($D$7:$D920,$D920,$F$7:$F920,$F920)=1,1,0))</f>
        <v/>
      </c>
    </row>
    <row r="921" customFormat="false" ht="15" hidden="false" customHeight="true" outlineLevel="0" collapsed="false">
      <c r="A921" s="38"/>
      <c r="B921" s="38"/>
      <c r="C921" s="38"/>
      <c r="D921" s="38"/>
      <c r="E921" s="13"/>
      <c r="F921" s="13"/>
      <c r="G921" s="67"/>
      <c r="H921" s="67"/>
      <c r="I921" s="67"/>
      <c r="J921" s="67"/>
      <c r="K921" s="38"/>
      <c r="L921" s="38"/>
      <c r="M921" s="66" t="str">
        <f aca="false">IF(OR($D921="",$F921=""),"",IF(COUNTIFS($D$7:$D921,$D921,$F$7:$F921,$F921)=1,1,0))</f>
        <v/>
      </c>
    </row>
    <row r="922" customFormat="false" ht="15" hidden="false" customHeight="true" outlineLevel="0" collapsed="false">
      <c r="A922" s="56"/>
      <c r="B922" s="56"/>
      <c r="C922" s="56"/>
      <c r="D922" s="56"/>
      <c r="E922" s="16"/>
      <c r="F922" s="16"/>
      <c r="G922" s="67"/>
      <c r="H922" s="67"/>
      <c r="I922" s="67"/>
      <c r="J922" s="67"/>
      <c r="K922" s="56"/>
      <c r="L922" s="56"/>
      <c r="M922" s="66" t="str">
        <f aca="false">IF(OR($D922="",$F922=""),"",IF(COUNTIFS($D$7:$D922,$D922,$F$7:$F922,$F922)=1,1,0))</f>
        <v/>
      </c>
    </row>
    <row r="923" customFormat="false" ht="15" hidden="false" customHeight="true" outlineLevel="0" collapsed="false">
      <c r="A923" s="38"/>
      <c r="B923" s="38"/>
      <c r="C923" s="38"/>
      <c r="D923" s="38"/>
      <c r="E923" s="13"/>
      <c r="F923" s="13"/>
      <c r="G923" s="67"/>
      <c r="H923" s="67"/>
      <c r="I923" s="67"/>
      <c r="J923" s="67"/>
      <c r="K923" s="38"/>
      <c r="L923" s="38"/>
      <c r="M923" s="66" t="str">
        <f aca="false">IF(OR($D923="",$F923=""),"",IF(COUNTIFS($D$7:$D923,$D923,$F$7:$F923,$F923)=1,1,0))</f>
        <v/>
      </c>
    </row>
    <row r="924" customFormat="false" ht="15" hidden="false" customHeight="true" outlineLevel="0" collapsed="false">
      <c r="A924" s="56"/>
      <c r="B924" s="56"/>
      <c r="C924" s="56"/>
      <c r="D924" s="56"/>
      <c r="E924" s="16"/>
      <c r="F924" s="16"/>
      <c r="G924" s="67"/>
      <c r="H924" s="67"/>
      <c r="I924" s="67"/>
      <c r="J924" s="67"/>
      <c r="K924" s="56"/>
      <c r="L924" s="56"/>
      <c r="M924" s="66" t="str">
        <f aca="false">IF(OR($D924="",$F924=""),"",IF(COUNTIFS($D$7:$D924,$D924,$F$7:$F924,$F924)=1,1,0))</f>
        <v/>
      </c>
    </row>
    <row r="925" customFormat="false" ht="15" hidden="false" customHeight="true" outlineLevel="0" collapsed="false">
      <c r="A925" s="38"/>
      <c r="B925" s="38"/>
      <c r="C925" s="38"/>
      <c r="D925" s="38"/>
      <c r="E925" s="13"/>
      <c r="F925" s="13"/>
      <c r="G925" s="67"/>
      <c r="H925" s="67"/>
      <c r="I925" s="67"/>
      <c r="J925" s="67"/>
      <c r="K925" s="38"/>
      <c r="L925" s="38"/>
      <c r="M925" s="66" t="str">
        <f aca="false">IF(OR($D925="",$F925=""),"",IF(COUNTIFS($D$7:$D925,$D925,$F$7:$F925,$F925)=1,1,0))</f>
        <v/>
      </c>
    </row>
    <row r="926" customFormat="false" ht="15" hidden="false" customHeight="true" outlineLevel="0" collapsed="false">
      <c r="A926" s="56"/>
      <c r="B926" s="56"/>
      <c r="C926" s="56"/>
      <c r="D926" s="56"/>
      <c r="E926" s="16"/>
      <c r="F926" s="16"/>
      <c r="G926" s="67"/>
      <c r="H926" s="67"/>
      <c r="I926" s="67"/>
      <c r="J926" s="67"/>
      <c r="K926" s="56"/>
      <c r="L926" s="56"/>
      <c r="M926" s="66" t="str">
        <f aca="false">IF(OR($D926="",$F926=""),"",IF(COUNTIFS($D$7:$D926,$D926,$F$7:$F926,$F926)=1,1,0))</f>
        <v/>
      </c>
    </row>
    <row r="927" customFormat="false" ht="15" hidden="false" customHeight="true" outlineLevel="0" collapsed="false">
      <c r="A927" s="38"/>
      <c r="B927" s="38"/>
      <c r="C927" s="38"/>
      <c r="D927" s="38"/>
      <c r="E927" s="13"/>
      <c r="F927" s="13"/>
      <c r="G927" s="67"/>
      <c r="H927" s="67"/>
      <c r="I927" s="67"/>
      <c r="J927" s="67"/>
      <c r="K927" s="38"/>
      <c r="L927" s="38"/>
      <c r="M927" s="66" t="str">
        <f aca="false">IF(OR($D927="",$F927=""),"",IF(COUNTIFS($D$7:$D927,$D927,$F$7:$F927,$F927)=1,1,0))</f>
        <v/>
      </c>
    </row>
    <row r="928" customFormat="false" ht="15" hidden="false" customHeight="true" outlineLevel="0" collapsed="false">
      <c r="A928" s="56"/>
      <c r="B928" s="56"/>
      <c r="C928" s="56"/>
      <c r="D928" s="56"/>
      <c r="E928" s="16"/>
      <c r="F928" s="16"/>
      <c r="G928" s="67"/>
      <c r="H928" s="67"/>
      <c r="I928" s="67"/>
      <c r="J928" s="67"/>
      <c r="K928" s="56"/>
      <c r="L928" s="56"/>
      <c r="M928" s="66" t="str">
        <f aca="false">IF(OR($D928="",$F928=""),"",IF(COUNTIFS($D$7:$D928,$D928,$F$7:$F928,$F928)=1,1,0))</f>
        <v/>
      </c>
    </row>
    <row r="929" customFormat="false" ht="15" hidden="false" customHeight="true" outlineLevel="0" collapsed="false">
      <c r="A929" s="38"/>
      <c r="B929" s="38"/>
      <c r="C929" s="38"/>
      <c r="D929" s="38"/>
      <c r="E929" s="13"/>
      <c r="F929" s="13"/>
      <c r="G929" s="67"/>
      <c r="H929" s="67"/>
      <c r="I929" s="67"/>
      <c r="J929" s="67"/>
      <c r="K929" s="38"/>
      <c r="L929" s="38"/>
      <c r="M929" s="66" t="str">
        <f aca="false">IF(OR($D929="",$F929=""),"",IF(COUNTIFS($D$7:$D929,$D929,$F$7:$F929,$F929)=1,1,0))</f>
        <v/>
      </c>
    </row>
    <row r="930" customFormat="false" ht="15" hidden="false" customHeight="true" outlineLevel="0" collapsed="false">
      <c r="A930" s="56"/>
      <c r="B930" s="56"/>
      <c r="C930" s="56"/>
      <c r="D930" s="56"/>
      <c r="E930" s="16"/>
      <c r="F930" s="16"/>
      <c r="G930" s="67"/>
      <c r="H930" s="67"/>
      <c r="I930" s="67"/>
      <c r="J930" s="67"/>
      <c r="K930" s="56"/>
      <c r="L930" s="56"/>
      <c r="M930" s="66" t="str">
        <f aca="false">IF(OR($D930="",$F930=""),"",IF(COUNTIFS($D$7:$D930,$D930,$F$7:$F930,$F930)=1,1,0))</f>
        <v/>
      </c>
    </row>
    <row r="931" customFormat="false" ht="15" hidden="false" customHeight="true" outlineLevel="0" collapsed="false">
      <c r="A931" s="38"/>
      <c r="B931" s="38"/>
      <c r="C931" s="38"/>
      <c r="D931" s="38"/>
      <c r="E931" s="13"/>
      <c r="F931" s="13"/>
      <c r="G931" s="67"/>
      <c r="H931" s="67"/>
      <c r="I931" s="67"/>
      <c r="J931" s="67"/>
      <c r="K931" s="38"/>
      <c r="L931" s="38"/>
      <c r="M931" s="66" t="str">
        <f aca="false">IF(OR($D931="",$F931=""),"",IF(COUNTIFS($D$7:$D931,$D931,$F$7:$F931,$F931)=1,1,0))</f>
        <v/>
      </c>
    </row>
    <row r="932" customFormat="false" ht="15" hidden="false" customHeight="true" outlineLevel="0" collapsed="false">
      <c r="A932" s="56"/>
      <c r="B932" s="56"/>
      <c r="C932" s="56"/>
      <c r="D932" s="56"/>
      <c r="E932" s="16"/>
      <c r="F932" s="16"/>
      <c r="G932" s="67"/>
      <c r="H932" s="67"/>
      <c r="I932" s="67"/>
      <c r="J932" s="67"/>
      <c r="K932" s="56"/>
      <c r="L932" s="56"/>
      <c r="M932" s="66" t="str">
        <f aca="false">IF(OR($D932="",$F932=""),"",IF(COUNTIFS($D$7:$D932,$D932,$F$7:$F932,$F932)=1,1,0))</f>
        <v/>
      </c>
    </row>
    <row r="933" customFormat="false" ht="15" hidden="false" customHeight="true" outlineLevel="0" collapsed="false">
      <c r="A933" s="38"/>
      <c r="B933" s="38"/>
      <c r="C933" s="38"/>
      <c r="D933" s="38"/>
      <c r="E933" s="13"/>
      <c r="F933" s="13"/>
      <c r="G933" s="67"/>
      <c r="H933" s="67"/>
      <c r="I933" s="67"/>
      <c r="J933" s="67"/>
      <c r="K933" s="38"/>
      <c r="L933" s="38"/>
      <c r="M933" s="66" t="str">
        <f aca="false">IF(OR($D933="",$F933=""),"",IF(COUNTIFS($D$7:$D933,$D933,$F$7:$F933,$F933)=1,1,0))</f>
        <v/>
      </c>
    </row>
    <row r="934" customFormat="false" ht="15" hidden="false" customHeight="true" outlineLevel="0" collapsed="false">
      <c r="A934" s="56"/>
      <c r="B934" s="56"/>
      <c r="C934" s="56"/>
      <c r="D934" s="56"/>
      <c r="E934" s="16"/>
      <c r="F934" s="16"/>
      <c r="G934" s="67"/>
      <c r="H934" s="67"/>
      <c r="I934" s="67"/>
      <c r="J934" s="67"/>
      <c r="K934" s="56"/>
      <c r="L934" s="56"/>
      <c r="M934" s="66" t="str">
        <f aca="false">IF(OR($D934="",$F934=""),"",IF(COUNTIFS($D$7:$D934,$D934,$F$7:$F934,$F934)=1,1,0))</f>
        <v/>
      </c>
    </row>
    <row r="935" customFormat="false" ht="15" hidden="false" customHeight="true" outlineLevel="0" collapsed="false">
      <c r="A935" s="38"/>
      <c r="B935" s="38"/>
      <c r="C935" s="38"/>
      <c r="D935" s="38"/>
      <c r="E935" s="13"/>
      <c r="F935" s="13"/>
      <c r="G935" s="67"/>
      <c r="H935" s="67"/>
      <c r="I935" s="67"/>
      <c r="J935" s="67"/>
      <c r="K935" s="38"/>
      <c r="L935" s="38"/>
      <c r="M935" s="66" t="str">
        <f aca="false">IF(OR($D935="",$F935=""),"",IF(COUNTIFS($D$7:$D935,$D935,$F$7:$F935,$F935)=1,1,0))</f>
        <v/>
      </c>
    </row>
    <row r="936" customFormat="false" ht="15" hidden="false" customHeight="true" outlineLevel="0" collapsed="false">
      <c r="A936" s="56"/>
      <c r="B936" s="56"/>
      <c r="C936" s="56"/>
      <c r="D936" s="56"/>
      <c r="E936" s="16"/>
      <c r="F936" s="16"/>
      <c r="G936" s="67"/>
      <c r="H936" s="67"/>
      <c r="I936" s="67"/>
      <c r="J936" s="67"/>
      <c r="K936" s="56"/>
      <c r="L936" s="56"/>
      <c r="M936" s="66" t="str">
        <f aca="false">IF(OR($D936="",$F936=""),"",IF(COUNTIFS($D$7:$D936,$D936,$F$7:$F936,$F936)=1,1,0))</f>
        <v/>
      </c>
    </row>
    <row r="937" customFormat="false" ht="15" hidden="false" customHeight="true" outlineLevel="0" collapsed="false">
      <c r="A937" s="38"/>
      <c r="B937" s="38"/>
      <c r="C937" s="38"/>
      <c r="D937" s="38"/>
      <c r="E937" s="13"/>
      <c r="F937" s="13"/>
      <c r="G937" s="67"/>
      <c r="H937" s="67"/>
      <c r="I937" s="67"/>
      <c r="J937" s="67"/>
      <c r="K937" s="38"/>
      <c r="L937" s="38"/>
      <c r="M937" s="66" t="str">
        <f aca="false">IF(OR($D937="",$F937=""),"",IF(COUNTIFS($D$7:$D937,$D937,$F$7:$F937,$F937)=1,1,0))</f>
        <v/>
      </c>
    </row>
    <row r="938" customFormat="false" ht="15" hidden="false" customHeight="true" outlineLevel="0" collapsed="false">
      <c r="A938" s="56"/>
      <c r="B938" s="56"/>
      <c r="C938" s="56"/>
      <c r="D938" s="56"/>
      <c r="E938" s="16"/>
      <c r="F938" s="16"/>
      <c r="G938" s="67"/>
      <c r="H938" s="67"/>
      <c r="I938" s="67"/>
      <c r="J938" s="67"/>
      <c r="K938" s="56"/>
      <c r="L938" s="56"/>
      <c r="M938" s="66" t="str">
        <f aca="false">IF(OR($D938="",$F938=""),"",IF(COUNTIFS($D$7:$D938,$D938,$F$7:$F938,$F938)=1,1,0))</f>
        <v/>
      </c>
    </row>
    <row r="939" customFormat="false" ht="15" hidden="false" customHeight="true" outlineLevel="0" collapsed="false">
      <c r="A939" s="38"/>
      <c r="B939" s="38"/>
      <c r="C939" s="38"/>
      <c r="D939" s="38"/>
      <c r="E939" s="13"/>
      <c r="F939" s="13"/>
      <c r="G939" s="67"/>
      <c r="H939" s="67"/>
      <c r="I939" s="67"/>
      <c r="J939" s="67"/>
      <c r="K939" s="38"/>
      <c r="L939" s="38"/>
      <c r="M939" s="66" t="str">
        <f aca="false">IF(OR($D939="",$F939=""),"",IF(COUNTIFS($D$7:$D939,$D939,$F$7:$F939,$F939)=1,1,0))</f>
        <v/>
      </c>
    </row>
    <row r="940" customFormat="false" ht="15" hidden="false" customHeight="true" outlineLevel="0" collapsed="false">
      <c r="A940" s="56"/>
      <c r="B940" s="56"/>
      <c r="C940" s="56"/>
      <c r="D940" s="56"/>
      <c r="E940" s="16"/>
      <c r="F940" s="16"/>
      <c r="G940" s="67"/>
      <c r="H940" s="67"/>
      <c r="I940" s="67"/>
      <c r="J940" s="67"/>
      <c r="K940" s="56"/>
      <c r="L940" s="56"/>
      <c r="M940" s="66" t="str">
        <f aca="false">IF(OR($D940="",$F940=""),"",IF(COUNTIFS($D$7:$D940,$D940,$F$7:$F940,$F940)=1,1,0))</f>
        <v/>
      </c>
    </row>
    <row r="941" customFormat="false" ht="15" hidden="false" customHeight="true" outlineLevel="0" collapsed="false">
      <c r="A941" s="38"/>
      <c r="B941" s="38"/>
      <c r="C941" s="38"/>
      <c r="D941" s="38"/>
      <c r="E941" s="13"/>
      <c r="F941" s="13"/>
      <c r="G941" s="67"/>
      <c r="H941" s="67"/>
      <c r="I941" s="67"/>
      <c r="J941" s="67"/>
      <c r="K941" s="38"/>
      <c r="L941" s="38"/>
      <c r="M941" s="66" t="str">
        <f aca="false">IF(OR($D941="",$F941=""),"",IF(COUNTIFS($D$7:$D941,$D941,$F$7:$F941,$F941)=1,1,0))</f>
        <v/>
      </c>
    </row>
    <row r="942" customFormat="false" ht="15" hidden="false" customHeight="true" outlineLevel="0" collapsed="false">
      <c r="A942" s="56"/>
      <c r="B942" s="56"/>
      <c r="C942" s="56"/>
      <c r="D942" s="56"/>
      <c r="E942" s="16"/>
      <c r="F942" s="16"/>
      <c r="G942" s="67"/>
      <c r="H942" s="67"/>
      <c r="I942" s="67"/>
      <c r="J942" s="67"/>
      <c r="K942" s="56"/>
      <c r="L942" s="56"/>
      <c r="M942" s="66" t="str">
        <f aca="false">IF(OR($D942="",$F942=""),"",IF(COUNTIFS($D$7:$D942,$D942,$F$7:$F942,$F942)=1,1,0))</f>
        <v/>
      </c>
    </row>
    <row r="943" customFormat="false" ht="15" hidden="false" customHeight="true" outlineLevel="0" collapsed="false">
      <c r="A943" s="38"/>
      <c r="B943" s="38"/>
      <c r="C943" s="38"/>
      <c r="D943" s="38"/>
      <c r="E943" s="13"/>
      <c r="F943" s="13"/>
      <c r="G943" s="67"/>
      <c r="H943" s="67"/>
      <c r="I943" s="67"/>
      <c r="J943" s="67"/>
      <c r="K943" s="38"/>
      <c r="L943" s="38"/>
      <c r="M943" s="66" t="str">
        <f aca="false">IF(OR($D943="",$F943=""),"",IF(COUNTIFS($D$7:$D943,$D943,$F$7:$F943,$F943)=1,1,0))</f>
        <v/>
      </c>
    </row>
    <row r="944" customFormat="false" ht="15" hidden="false" customHeight="true" outlineLevel="0" collapsed="false">
      <c r="A944" s="56"/>
      <c r="B944" s="56"/>
      <c r="C944" s="56"/>
      <c r="D944" s="56"/>
      <c r="E944" s="16"/>
      <c r="F944" s="16"/>
      <c r="G944" s="67"/>
      <c r="H944" s="67"/>
      <c r="I944" s="67"/>
      <c r="J944" s="67"/>
      <c r="K944" s="56"/>
      <c r="L944" s="56"/>
      <c r="M944" s="66" t="str">
        <f aca="false">IF(OR($D944="",$F944=""),"",IF(COUNTIFS($D$7:$D944,$D944,$F$7:$F944,$F944)=1,1,0))</f>
        <v/>
      </c>
    </row>
    <row r="945" customFormat="false" ht="15" hidden="false" customHeight="true" outlineLevel="0" collapsed="false">
      <c r="A945" s="38"/>
      <c r="B945" s="38"/>
      <c r="C945" s="38"/>
      <c r="D945" s="38"/>
      <c r="E945" s="13"/>
      <c r="F945" s="13"/>
      <c r="G945" s="67"/>
      <c r="H945" s="67"/>
      <c r="I945" s="67"/>
      <c r="J945" s="67"/>
      <c r="K945" s="38"/>
      <c r="L945" s="38"/>
      <c r="M945" s="66" t="str">
        <f aca="false">IF(OR($D945="",$F945=""),"",IF(COUNTIFS($D$7:$D945,$D945,$F$7:$F945,$F945)=1,1,0))</f>
        <v/>
      </c>
    </row>
    <row r="946" customFormat="false" ht="15" hidden="false" customHeight="true" outlineLevel="0" collapsed="false">
      <c r="A946" s="56"/>
      <c r="B946" s="56"/>
      <c r="C946" s="56"/>
      <c r="D946" s="56"/>
      <c r="E946" s="16"/>
      <c r="F946" s="16"/>
      <c r="G946" s="67"/>
      <c r="H946" s="67"/>
      <c r="I946" s="67"/>
      <c r="J946" s="67"/>
      <c r="K946" s="56"/>
      <c r="L946" s="56"/>
      <c r="M946" s="66" t="str">
        <f aca="false">IF(OR($D946="",$F946=""),"",IF(COUNTIFS($D$7:$D946,$D946,$F$7:$F946,$F946)=1,1,0))</f>
        <v/>
      </c>
    </row>
    <row r="947" customFormat="false" ht="15" hidden="false" customHeight="true" outlineLevel="0" collapsed="false">
      <c r="A947" s="38"/>
      <c r="B947" s="38"/>
      <c r="C947" s="38"/>
      <c r="D947" s="38"/>
      <c r="E947" s="13"/>
      <c r="F947" s="13"/>
      <c r="G947" s="67"/>
      <c r="H947" s="67"/>
      <c r="I947" s="67"/>
      <c r="J947" s="67"/>
      <c r="K947" s="38"/>
      <c r="L947" s="38"/>
      <c r="M947" s="66" t="str">
        <f aca="false">IF(OR($D947="",$F947=""),"",IF(COUNTIFS($D$7:$D947,$D947,$F$7:$F947,$F947)=1,1,0))</f>
        <v/>
      </c>
    </row>
    <row r="948" customFormat="false" ht="15" hidden="false" customHeight="true" outlineLevel="0" collapsed="false">
      <c r="A948" s="56"/>
      <c r="B948" s="56"/>
      <c r="C948" s="56"/>
      <c r="D948" s="56"/>
      <c r="E948" s="16"/>
      <c r="F948" s="16"/>
      <c r="G948" s="67"/>
      <c r="H948" s="67"/>
      <c r="I948" s="67"/>
      <c r="J948" s="67"/>
      <c r="K948" s="56"/>
      <c r="L948" s="56"/>
      <c r="M948" s="66" t="str">
        <f aca="false">IF(OR($D948="",$F948=""),"",IF(COUNTIFS($D$7:$D948,$D948,$F$7:$F948,$F948)=1,1,0))</f>
        <v/>
      </c>
    </row>
    <row r="949" customFormat="false" ht="15" hidden="false" customHeight="true" outlineLevel="0" collapsed="false">
      <c r="A949" s="38"/>
      <c r="B949" s="38"/>
      <c r="C949" s="38"/>
      <c r="D949" s="38"/>
      <c r="E949" s="13"/>
      <c r="F949" s="13"/>
      <c r="G949" s="67"/>
      <c r="H949" s="67"/>
      <c r="I949" s="67"/>
      <c r="J949" s="67"/>
      <c r="K949" s="38"/>
      <c r="L949" s="38"/>
      <c r="M949" s="66" t="str">
        <f aca="false">IF(OR($D949="",$F949=""),"",IF(COUNTIFS($D$7:$D949,$D949,$F$7:$F949,$F949)=1,1,0))</f>
        <v/>
      </c>
    </row>
    <row r="950" customFormat="false" ht="15" hidden="false" customHeight="true" outlineLevel="0" collapsed="false">
      <c r="A950" s="56"/>
      <c r="B950" s="56"/>
      <c r="C950" s="56"/>
      <c r="D950" s="56"/>
      <c r="E950" s="16"/>
      <c r="F950" s="16"/>
      <c r="G950" s="67"/>
      <c r="H950" s="67"/>
      <c r="I950" s="67"/>
      <c r="J950" s="67"/>
      <c r="K950" s="56"/>
      <c r="L950" s="56"/>
      <c r="M950" s="66" t="str">
        <f aca="false">IF(OR($D950="",$F950=""),"",IF(COUNTIFS($D$7:$D950,$D950,$F$7:$F950,$F950)=1,1,0))</f>
        <v/>
      </c>
    </row>
    <row r="951" customFormat="false" ht="15" hidden="false" customHeight="true" outlineLevel="0" collapsed="false">
      <c r="A951" s="38"/>
      <c r="B951" s="38"/>
      <c r="C951" s="38"/>
      <c r="D951" s="38"/>
      <c r="E951" s="13"/>
      <c r="F951" s="13"/>
      <c r="G951" s="67"/>
      <c r="H951" s="67"/>
      <c r="I951" s="67"/>
      <c r="J951" s="67"/>
      <c r="K951" s="38"/>
      <c r="L951" s="38"/>
      <c r="M951" s="66" t="str">
        <f aca="false">IF(OR($D951="",$F951=""),"",IF(COUNTIFS($D$7:$D951,$D951,$F$7:$F951,$F951)=1,1,0))</f>
        <v/>
      </c>
    </row>
    <row r="952" customFormat="false" ht="15" hidden="false" customHeight="true" outlineLevel="0" collapsed="false">
      <c r="A952" s="56"/>
      <c r="B952" s="56"/>
      <c r="C952" s="56"/>
      <c r="D952" s="56"/>
      <c r="E952" s="16"/>
      <c r="F952" s="16"/>
      <c r="G952" s="67"/>
      <c r="H952" s="67"/>
      <c r="I952" s="67"/>
      <c r="J952" s="67"/>
      <c r="K952" s="56"/>
      <c r="L952" s="56"/>
      <c r="M952" s="66" t="str">
        <f aca="false">IF(OR($D952="",$F952=""),"",IF(COUNTIFS($D$7:$D952,$D952,$F$7:$F952,$F952)=1,1,0))</f>
        <v/>
      </c>
    </row>
    <row r="953" customFormat="false" ht="15" hidden="false" customHeight="true" outlineLevel="0" collapsed="false">
      <c r="A953" s="38"/>
      <c r="B953" s="38"/>
      <c r="C953" s="38"/>
      <c r="D953" s="38"/>
      <c r="E953" s="13"/>
      <c r="F953" s="13"/>
      <c r="G953" s="67"/>
      <c r="H953" s="67"/>
      <c r="I953" s="67"/>
      <c r="J953" s="67"/>
      <c r="K953" s="38"/>
      <c r="L953" s="38"/>
      <c r="M953" s="66" t="str">
        <f aca="false">IF(OR($D953="",$F953=""),"",IF(COUNTIFS($D$7:$D953,$D953,$F$7:$F953,$F953)=1,1,0))</f>
        <v/>
      </c>
    </row>
    <row r="954" customFormat="false" ht="15" hidden="false" customHeight="true" outlineLevel="0" collapsed="false">
      <c r="A954" s="56"/>
      <c r="B954" s="56"/>
      <c r="C954" s="56"/>
      <c r="D954" s="56"/>
      <c r="E954" s="16"/>
      <c r="F954" s="16"/>
      <c r="G954" s="67"/>
      <c r="H954" s="67"/>
      <c r="I954" s="67"/>
      <c r="J954" s="67"/>
      <c r="K954" s="56"/>
      <c r="L954" s="56"/>
      <c r="M954" s="66" t="str">
        <f aca="false">IF(OR($D954="",$F954=""),"",IF(COUNTIFS($D$7:$D954,$D954,$F$7:$F954,$F954)=1,1,0))</f>
        <v/>
      </c>
    </row>
    <row r="955" customFormat="false" ht="15" hidden="false" customHeight="true" outlineLevel="0" collapsed="false">
      <c r="A955" s="38"/>
      <c r="B955" s="38"/>
      <c r="C955" s="38"/>
      <c r="D955" s="38"/>
      <c r="E955" s="13"/>
      <c r="F955" s="13"/>
      <c r="G955" s="67"/>
      <c r="H955" s="67"/>
      <c r="I955" s="67"/>
      <c r="J955" s="67"/>
      <c r="K955" s="38"/>
      <c r="L955" s="38"/>
      <c r="M955" s="66" t="str">
        <f aca="false">IF(OR($D955="",$F955=""),"",IF(COUNTIFS($D$7:$D955,$D955,$F$7:$F955,$F955)=1,1,0))</f>
        <v/>
      </c>
    </row>
    <row r="956" customFormat="false" ht="15" hidden="false" customHeight="true" outlineLevel="0" collapsed="false">
      <c r="A956" s="56"/>
      <c r="B956" s="56"/>
      <c r="C956" s="56"/>
      <c r="D956" s="56"/>
      <c r="E956" s="16"/>
      <c r="F956" s="16"/>
      <c r="G956" s="67"/>
      <c r="H956" s="67"/>
      <c r="I956" s="67"/>
      <c r="J956" s="67"/>
      <c r="K956" s="56"/>
      <c r="L956" s="56"/>
      <c r="M956" s="66" t="str">
        <f aca="false">IF(OR($D956="",$F956=""),"",IF(COUNTIFS($D$7:$D956,$D956,$F$7:$F956,$F956)=1,1,0))</f>
        <v/>
      </c>
    </row>
    <row r="957" customFormat="false" ht="15" hidden="false" customHeight="true" outlineLevel="0" collapsed="false">
      <c r="A957" s="38"/>
      <c r="B957" s="38"/>
      <c r="C957" s="38"/>
      <c r="D957" s="38"/>
      <c r="E957" s="13"/>
      <c r="F957" s="13"/>
      <c r="G957" s="67"/>
      <c r="H957" s="67"/>
      <c r="I957" s="67"/>
      <c r="J957" s="67"/>
      <c r="K957" s="38"/>
      <c r="L957" s="38"/>
      <c r="M957" s="66" t="str">
        <f aca="false">IF(OR($D957="",$F957=""),"",IF(COUNTIFS($D$7:$D957,$D957,$F$7:$F957,$F957)=1,1,0))</f>
        <v/>
      </c>
    </row>
    <row r="958" customFormat="false" ht="15" hidden="false" customHeight="true" outlineLevel="0" collapsed="false">
      <c r="A958" s="56"/>
      <c r="B958" s="56"/>
      <c r="C958" s="56"/>
      <c r="D958" s="56"/>
      <c r="E958" s="16"/>
      <c r="F958" s="16"/>
      <c r="G958" s="67"/>
      <c r="H958" s="67"/>
      <c r="I958" s="67"/>
      <c r="J958" s="67"/>
      <c r="K958" s="56"/>
      <c r="L958" s="56"/>
      <c r="M958" s="66" t="str">
        <f aca="false">IF(OR($D958="",$F958=""),"",IF(COUNTIFS($D$7:$D958,$D958,$F$7:$F958,$F958)=1,1,0))</f>
        <v/>
      </c>
    </row>
    <row r="959" customFormat="false" ht="15" hidden="false" customHeight="true" outlineLevel="0" collapsed="false">
      <c r="A959" s="38"/>
      <c r="B959" s="38"/>
      <c r="C959" s="38"/>
      <c r="D959" s="38"/>
      <c r="E959" s="13"/>
      <c r="F959" s="13"/>
      <c r="G959" s="67"/>
      <c r="H959" s="67"/>
      <c r="I959" s="67"/>
      <c r="J959" s="67"/>
      <c r="K959" s="38"/>
      <c r="L959" s="38"/>
      <c r="M959" s="66" t="str">
        <f aca="false">IF(OR($D959="",$F959=""),"",IF(COUNTIFS($D$7:$D959,$D959,$F$7:$F959,$F959)=1,1,0))</f>
        <v/>
      </c>
    </row>
    <row r="960" customFormat="false" ht="15" hidden="false" customHeight="true" outlineLevel="0" collapsed="false">
      <c r="A960" s="56"/>
      <c r="B960" s="56"/>
      <c r="C960" s="56"/>
      <c r="D960" s="56"/>
      <c r="E960" s="16"/>
      <c r="F960" s="16"/>
      <c r="G960" s="67"/>
      <c r="H960" s="67"/>
      <c r="I960" s="67"/>
      <c r="J960" s="67"/>
      <c r="K960" s="56"/>
      <c r="L960" s="56"/>
      <c r="M960" s="66" t="str">
        <f aca="false">IF(OR($D960="",$F960=""),"",IF(COUNTIFS($D$7:$D960,$D960,$F$7:$F960,$F960)=1,1,0))</f>
        <v/>
      </c>
    </row>
    <row r="961" customFormat="false" ht="15" hidden="false" customHeight="true" outlineLevel="0" collapsed="false">
      <c r="A961" s="38"/>
      <c r="B961" s="38"/>
      <c r="C961" s="38"/>
      <c r="D961" s="38"/>
      <c r="E961" s="13"/>
      <c r="F961" s="13"/>
      <c r="G961" s="67"/>
      <c r="H961" s="67"/>
      <c r="I961" s="67"/>
      <c r="J961" s="67"/>
      <c r="K961" s="38"/>
      <c r="L961" s="38"/>
      <c r="M961" s="66" t="str">
        <f aca="false">IF(OR($D961="",$F961=""),"",IF(COUNTIFS($D$7:$D961,$D961,$F$7:$F961,$F961)=1,1,0))</f>
        <v/>
      </c>
    </row>
    <row r="962" customFormat="false" ht="15" hidden="false" customHeight="true" outlineLevel="0" collapsed="false">
      <c r="A962" s="56"/>
      <c r="B962" s="56"/>
      <c r="C962" s="56"/>
      <c r="D962" s="56"/>
      <c r="E962" s="16"/>
      <c r="F962" s="16"/>
      <c r="G962" s="67"/>
      <c r="H962" s="67"/>
      <c r="I962" s="67"/>
      <c r="J962" s="67"/>
      <c r="K962" s="56"/>
      <c r="L962" s="56"/>
      <c r="M962" s="66" t="str">
        <f aca="false">IF(OR($D962="",$F962=""),"",IF(COUNTIFS($D$7:$D962,$D962,$F$7:$F962,$F962)=1,1,0))</f>
        <v/>
      </c>
    </row>
    <row r="963" customFormat="false" ht="15" hidden="false" customHeight="true" outlineLevel="0" collapsed="false">
      <c r="A963" s="38"/>
      <c r="B963" s="38"/>
      <c r="C963" s="38"/>
      <c r="D963" s="38"/>
      <c r="E963" s="13"/>
      <c r="F963" s="13"/>
      <c r="G963" s="67"/>
      <c r="H963" s="67"/>
      <c r="I963" s="67"/>
      <c r="J963" s="67"/>
      <c r="K963" s="38"/>
      <c r="L963" s="38"/>
      <c r="M963" s="66" t="str">
        <f aca="false">IF(OR($D963="",$F963=""),"",IF(COUNTIFS($D$7:$D963,$D963,$F$7:$F963,$F963)=1,1,0))</f>
        <v/>
      </c>
    </row>
    <row r="964" customFormat="false" ht="15" hidden="false" customHeight="true" outlineLevel="0" collapsed="false">
      <c r="A964" s="56"/>
      <c r="B964" s="56"/>
      <c r="C964" s="56"/>
      <c r="D964" s="56"/>
      <c r="E964" s="16"/>
      <c r="F964" s="16"/>
      <c r="G964" s="67"/>
      <c r="H964" s="67"/>
      <c r="I964" s="67"/>
      <c r="J964" s="67"/>
      <c r="K964" s="56"/>
      <c r="L964" s="56"/>
      <c r="M964" s="66" t="str">
        <f aca="false">IF(OR($D964="",$F964=""),"",IF(COUNTIFS($D$7:$D964,$D964,$F$7:$F964,$F964)=1,1,0))</f>
        <v/>
      </c>
    </row>
    <row r="965" customFormat="false" ht="15" hidden="false" customHeight="true" outlineLevel="0" collapsed="false">
      <c r="A965" s="38"/>
      <c r="B965" s="38"/>
      <c r="C965" s="38"/>
      <c r="D965" s="38"/>
      <c r="E965" s="13"/>
      <c r="F965" s="13"/>
      <c r="G965" s="67"/>
      <c r="H965" s="67"/>
      <c r="I965" s="67"/>
      <c r="J965" s="67"/>
      <c r="K965" s="38"/>
      <c r="L965" s="38"/>
      <c r="M965" s="66" t="str">
        <f aca="false">IF(OR($D965="",$F965=""),"",IF(COUNTIFS($D$7:$D965,$D965,$F$7:$F965,$F965)=1,1,0))</f>
        <v/>
      </c>
    </row>
    <row r="966" customFormat="false" ht="15" hidden="false" customHeight="true" outlineLevel="0" collapsed="false">
      <c r="A966" s="56"/>
      <c r="B966" s="56"/>
      <c r="C966" s="56"/>
      <c r="D966" s="56"/>
      <c r="E966" s="16"/>
      <c r="F966" s="16"/>
      <c r="G966" s="67"/>
      <c r="H966" s="67"/>
      <c r="I966" s="67"/>
      <c r="J966" s="67"/>
      <c r="K966" s="56"/>
      <c r="L966" s="56"/>
      <c r="M966" s="66" t="str">
        <f aca="false">IF(OR($D966="",$F966=""),"",IF(COUNTIFS($D$7:$D966,$D966,$F$7:$F966,$F966)=1,1,0))</f>
        <v/>
      </c>
    </row>
    <row r="967" customFormat="false" ht="15" hidden="false" customHeight="true" outlineLevel="0" collapsed="false">
      <c r="A967" s="38"/>
      <c r="B967" s="38"/>
      <c r="C967" s="38"/>
      <c r="D967" s="38"/>
      <c r="E967" s="13"/>
      <c r="F967" s="13"/>
      <c r="G967" s="67"/>
      <c r="H967" s="67"/>
      <c r="I967" s="67"/>
      <c r="J967" s="67"/>
      <c r="K967" s="38"/>
      <c r="L967" s="38"/>
      <c r="M967" s="66" t="str">
        <f aca="false">IF(OR($D967="",$F967=""),"",IF(COUNTIFS($D$7:$D967,$D967,$F$7:$F967,$F967)=1,1,0))</f>
        <v/>
      </c>
    </row>
    <row r="968" customFormat="false" ht="15" hidden="false" customHeight="true" outlineLevel="0" collapsed="false">
      <c r="A968" s="56"/>
      <c r="B968" s="56"/>
      <c r="C968" s="56"/>
      <c r="D968" s="56"/>
      <c r="E968" s="16"/>
      <c r="F968" s="16"/>
      <c r="G968" s="67"/>
      <c r="H968" s="67"/>
      <c r="I968" s="67"/>
      <c r="J968" s="67"/>
      <c r="K968" s="56"/>
      <c r="L968" s="56"/>
      <c r="M968" s="66" t="str">
        <f aca="false">IF(OR($D968="",$F968=""),"",IF(COUNTIFS($D$7:$D968,$D968,$F$7:$F968,$F968)=1,1,0))</f>
        <v/>
      </c>
    </row>
    <row r="969" customFormat="false" ht="15" hidden="false" customHeight="true" outlineLevel="0" collapsed="false">
      <c r="A969" s="38"/>
      <c r="B969" s="38"/>
      <c r="C969" s="38"/>
      <c r="D969" s="38"/>
      <c r="E969" s="13"/>
      <c r="F969" s="13"/>
      <c r="G969" s="67"/>
      <c r="H969" s="67"/>
      <c r="I969" s="67"/>
      <c r="J969" s="67"/>
      <c r="K969" s="38"/>
      <c r="L969" s="38"/>
      <c r="M969" s="66" t="str">
        <f aca="false">IF(OR($D969="",$F969=""),"",IF(COUNTIFS($D$7:$D969,$D969,$F$7:$F969,$F969)=1,1,0))</f>
        <v/>
      </c>
    </row>
    <row r="970" customFormat="false" ht="15" hidden="false" customHeight="true" outlineLevel="0" collapsed="false">
      <c r="A970" s="56"/>
      <c r="B970" s="56"/>
      <c r="C970" s="56"/>
      <c r="D970" s="56"/>
      <c r="E970" s="16"/>
      <c r="F970" s="16"/>
      <c r="G970" s="67"/>
      <c r="H970" s="67"/>
      <c r="I970" s="67"/>
      <c r="J970" s="67"/>
      <c r="K970" s="56"/>
      <c r="L970" s="56"/>
      <c r="M970" s="66" t="str">
        <f aca="false">IF(OR($D970="",$F970=""),"",IF(COUNTIFS($D$7:$D970,$D970,$F$7:$F970,$F970)=1,1,0))</f>
        <v/>
      </c>
    </row>
    <row r="971" customFormat="false" ht="15" hidden="false" customHeight="true" outlineLevel="0" collapsed="false">
      <c r="A971" s="38"/>
      <c r="B971" s="38"/>
      <c r="C971" s="38"/>
      <c r="D971" s="38"/>
      <c r="E971" s="13"/>
      <c r="F971" s="13"/>
      <c r="G971" s="67"/>
      <c r="H971" s="67"/>
      <c r="I971" s="67"/>
      <c r="J971" s="67"/>
      <c r="K971" s="38"/>
      <c r="L971" s="38"/>
      <c r="M971" s="66" t="str">
        <f aca="false">IF(OR($D971="",$F971=""),"",IF(COUNTIFS($D$7:$D971,$D971,$F$7:$F971,$F971)=1,1,0))</f>
        <v/>
      </c>
    </row>
    <row r="972" customFormat="false" ht="15" hidden="false" customHeight="true" outlineLevel="0" collapsed="false">
      <c r="A972" s="56"/>
      <c r="B972" s="56"/>
      <c r="C972" s="56"/>
      <c r="D972" s="56"/>
      <c r="E972" s="16"/>
      <c r="F972" s="16"/>
      <c r="G972" s="67"/>
      <c r="H972" s="67"/>
      <c r="I972" s="67"/>
      <c r="J972" s="67"/>
      <c r="K972" s="56"/>
      <c r="L972" s="56"/>
      <c r="M972" s="66" t="str">
        <f aca="false">IF(OR($D972="",$F972=""),"",IF(COUNTIFS($D$7:$D972,$D972,$F$7:$F972,$F972)=1,1,0))</f>
        <v/>
      </c>
    </row>
    <row r="973" customFormat="false" ht="15" hidden="false" customHeight="true" outlineLevel="0" collapsed="false">
      <c r="A973" s="38"/>
      <c r="B973" s="38"/>
      <c r="C973" s="38"/>
      <c r="D973" s="38"/>
      <c r="E973" s="13"/>
      <c r="F973" s="13"/>
      <c r="G973" s="67"/>
      <c r="H973" s="67"/>
      <c r="I973" s="67"/>
      <c r="J973" s="67"/>
      <c r="K973" s="38"/>
      <c r="L973" s="38"/>
      <c r="M973" s="66" t="str">
        <f aca="false">IF(OR($D973="",$F973=""),"",IF(COUNTIFS($D$7:$D973,$D973,$F$7:$F973,$F973)=1,1,0))</f>
        <v/>
      </c>
    </row>
    <row r="974" customFormat="false" ht="15" hidden="false" customHeight="true" outlineLevel="0" collapsed="false">
      <c r="A974" s="56"/>
      <c r="B974" s="56"/>
      <c r="C974" s="56"/>
      <c r="D974" s="56"/>
      <c r="E974" s="16"/>
      <c r="F974" s="16"/>
      <c r="G974" s="67"/>
      <c r="H974" s="67"/>
      <c r="I974" s="67"/>
      <c r="J974" s="67"/>
      <c r="K974" s="56"/>
      <c r="L974" s="56"/>
      <c r="M974" s="66" t="str">
        <f aca="false">IF(OR($D974="",$F974=""),"",IF(COUNTIFS($D$7:$D974,$D974,$F$7:$F974,$F974)=1,1,0))</f>
        <v/>
      </c>
    </row>
    <row r="975" customFormat="false" ht="15" hidden="false" customHeight="true" outlineLevel="0" collapsed="false">
      <c r="A975" s="38"/>
      <c r="B975" s="38"/>
      <c r="C975" s="38"/>
      <c r="D975" s="38"/>
      <c r="E975" s="13"/>
      <c r="F975" s="13"/>
      <c r="G975" s="67"/>
      <c r="H975" s="67"/>
      <c r="I975" s="67"/>
      <c r="J975" s="67"/>
      <c r="K975" s="38"/>
      <c r="L975" s="38"/>
      <c r="M975" s="66" t="str">
        <f aca="false">IF(OR($D975="",$F975=""),"",IF(COUNTIFS($D$7:$D975,$D975,$F$7:$F975,$F975)=1,1,0))</f>
        <v/>
      </c>
    </row>
    <row r="976" customFormat="false" ht="15" hidden="false" customHeight="true" outlineLevel="0" collapsed="false">
      <c r="A976" s="56"/>
      <c r="B976" s="56"/>
      <c r="C976" s="56"/>
      <c r="D976" s="56"/>
      <c r="E976" s="16"/>
      <c r="F976" s="16"/>
      <c r="G976" s="67"/>
      <c r="H976" s="67"/>
      <c r="I976" s="67"/>
      <c r="J976" s="67"/>
      <c r="K976" s="56"/>
      <c r="L976" s="56"/>
      <c r="M976" s="66" t="str">
        <f aca="false">IF(OR($D976="",$F976=""),"",IF(COUNTIFS($D$7:$D976,$D976,$F$7:$F976,$F976)=1,1,0))</f>
        <v/>
      </c>
    </row>
    <row r="977" customFormat="false" ht="15" hidden="false" customHeight="true" outlineLevel="0" collapsed="false">
      <c r="A977" s="38"/>
      <c r="B977" s="38"/>
      <c r="C977" s="38"/>
      <c r="D977" s="38"/>
      <c r="E977" s="13"/>
      <c r="F977" s="13"/>
      <c r="G977" s="67"/>
      <c r="H977" s="67"/>
      <c r="I977" s="67"/>
      <c r="J977" s="67"/>
      <c r="K977" s="38"/>
      <c r="L977" s="38"/>
      <c r="M977" s="66" t="str">
        <f aca="false">IF(OR($D977="",$F977=""),"",IF(COUNTIFS($D$7:$D977,$D977,$F$7:$F977,$F977)=1,1,0))</f>
        <v/>
      </c>
    </row>
    <row r="978" customFormat="false" ht="15" hidden="false" customHeight="true" outlineLevel="0" collapsed="false">
      <c r="A978" s="56"/>
      <c r="B978" s="56"/>
      <c r="C978" s="56"/>
      <c r="D978" s="56"/>
      <c r="E978" s="16"/>
      <c r="F978" s="16"/>
      <c r="G978" s="67"/>
      <c r="H978" s="67"/>
      <c r="I978" s="67"/>
      <c r="J978" s="67"/>
      <c r="K978" s="56"/>
      <c r="L978" s="56"/>
      <c r="M978" s="66" t="str">
        <f aca="false">IF(OR($D978="",$F978=""),"",IF(COUNTIFS($D$7:$D978,$D978,$F$7:$F978,$F978)=1,1,0))</f>
        <v/>
      </c>
    </row>
    <row r="979" customFormat="false" ht="15" hidden="false" customHeight="true" outlineLevel="0" collapsed="false">
      <c r="A979" s="38"/>
      <c r="B979" s="38"/>
      <c r="C979" s="38"/>
      <c r="D979" s="38"/>
      <c r="E979" s="13"/>
      <c r="F979" s="13"/>
      <c r="G979" s="67"/>
      <c r="H979" s="67"/>
      <c r="I979" s="67"/>
      <c r="J979" s="67"/>
      <c r="K979" s="38"/>
      <c r="L979" s="38"/>
      <c r="M979" s="66" t="str">
        <f aca="false">IF(OR($D979="",$F979=""),"",IF(COUNTIFS($D$7:$D979,$D979,$F$7:$F979,$F979)=1,1,0))</f>
        <v/>
      </c>
    </row>
    <row r="980" customFormat="false" ht="15" hidden="false" customHeight="true" outlineLevel="0" collapsed="false">
      <c r="A980" s="56"/>
      <c r="B980" s="56"/>
      <c r="C980" s="56"/>
      <c r="D980" s="56"/>
      <c r="E980" s="16"/>
      <c r="F980" s="16"/>
      <c r="G980" s="67"/>
      <c r="H980" s="67"/>
      <c r="I980" s="67"/>
      <c r="J980" s="67"/>
      <c r="K980" s="56"/>
      <c r="L980" s="56"/>
      <c r="M980" s="66" t="str">
        <f aca="false">IF(OR($D980="",$F980=""),"",IF(COUNTIFS($D$7:$D980,$D980,$F$7:$F980,$F980)=1,1,0))</f>
        <v/>
      </c>
    </row>
    <row r="981" customFormat="false" ht="15" hidden="false" customHeight="true" outlineLevel="0" collapsed="false">
      <c r="A981" s="38"/>
      <c r="B981" s="38"/>
      <c r="C981" s="38"/>
      <c r="D981" s="38"/>
      <c r="E981" s="13"/>
      <c r="F981" s="13"/>
      <c r="G981" s="67"/>
      <c r="H981" s="67"/>
      <c r="I981" s="67"/>
      <c r="J981" s="67"/>
      <c r="K981" s="38"/>
      <c r="L981" s="38"/>
      <c r="M981" s="66" t="str">
        <f aca="false">IF(OR($D981="",$F981=""),"",IF(COUNTIFS($D$7:$D981,$D981,$F$7:$F981,$F981)=1,1,0))</f>
        <v/>
      </c>
    </row>
    <row r="982" customFormat="false" ht="15" hidden="false" customHeight="true" outlineLevel="0" collapsed="false">
      <c r="A982" s="56"/>
      <c r="B982" s="56"/>
      <c r="C982" s="56"/>
      <c r="D982" s="56"/>
      <c r="E982" s="16"/>
      <c r="F982" s="16"/>
      <c r="G982" s="67"/>
      <c r="H982" s="67"/>
      <c r="I982" s="67"/>
      <c r="J982" s="67"/>
      <c r="K982" s="56"/>
      <c r="L982" s="56"/>
      <c r="M982" s="66" t="str">
        <f aca="false">IF(OR($D982="",$F982=""),"",IF(COUNTIFS($D$7:$D982,$D982,$F$7:$F982,$F982)=1,1,0))</f>
        <v/>
      </c>
    </row>
    <row r="983" customFormat="false" ht="15" hidden="false" customHeight="true" outlineLevel="0" collapsed="false">
      <c r="A983" s="38"/>
      <c r="B983" s="38"/>
      <c r="C983" s="38"/>
      <c r="D983" s="38"/>
      <c r="E983" s="13"/>
      <c r="F983" s="13"/>
      <c r="G983" s="67"/>
      <c r="H983" s="67"/>
      <c r="I983" s="67"/>
      <c r="J983" s="67"/>
      <c r="K983" s="38"/>
      <c r="L983" s="38"/>
      <c r="M983" s="66" t="str">
        <f aca="false">IF(OR($D983="",$F983=""),"",IF(COUNTIFS($D$7:$D983,$D983,$F$7:$F983,$F983)=1,1,0))</f>
        <v/>
      </c>
    </row>
    <row r="984" customFormat="false" ht="15" hidden="false" customHeight="true" outlineLevel="0" collapsed="false">
      <c r="A984" s="56"/>
      <c r="B984" s="56"/>
      <c r="C984" s="56"/>
      <c r="D984" s="56"/>
      <c r="E984" s="16"/>
      <c r="F984" s="16"/>
      <c r="G984" s="67"/>
      <c r="H984" s="67"/>
      <c r="I984" s="67"/>
      <c r="J984" s="67"/>
      <c r="K984" s="56"/>
      <c r="L984" s="56"/>
      <c r="M984" s="66" t="str">
        <f aca="false">IF(OR($D984="",$F984=""),"",IF(COUNTIFS($D$7:$D984,$D984,$F$7:$F984,$F984)=1,1,0))</f>
        <v/>
      </c>
    </row>
    <row r="985" customFormat="false" ht="15" hidden="false" customHeight="true" outlineLevel="0" collapsed="false">
      <c r="A985" s="38"/>
      <c r="B985" s="38"/>
      <c r="C985" s="38"/>
      <c r="D985" s="38"/>
      <c r="E985" s="13"/>
      <c r="F985" s="13"/>
      <c r="G985" s="67"/>
      <c r="H985" s="67"/>
      <c r="I985" s="67"/>
      <c r="J985" s="67"/>
      <c r="K985" s="38"/>
      <c r="L985" s="38"/>
      <c r="M985" s="66" t="str">
        <f aca="false">IF(OR($D985="",$F985=""),"",IF(COUNTIFS($D$7:$D985,$D985,$F$7:$F985,$F985)=1,1,0))</f>
        <v/>
      </c>
    </row>
    <row r="986" customFormat="false" ht="15" hidden="false" customHeight="true" outlineLevel="0" collapsed="false">
      <c r="A986" s="56"/>
      <c r="B986" s="56"/>
      <c r="C986" s="56"/>
      <c r="D986" s="56"/>
      <c r="E986" s="16"/>
      <c r="F986" s="16"/>
      <c r="G986" s="67"/>
      <c r="H986" s="67"/>
      <c r="I986" s="67"/>
      <c r="J986" s="67"/>
      <c r="K986" s="56"/>
      <c r="L986" s="56"/>
      <c r="M986" s="66" t="str">
        <f aca="false">IF(OR($D986="",$F986=""),"",IF(COUNTIFS($D$7:$D986,$D986,$F$7:$F986,$F986)=1,1,0))</f>
        <v/>
      </c>
    </row>
    <row r="987" customFormat="false" ht="15" hidden="false" customHeight="true" outlineLevel="0" collapsed="false">
      <c r="A987" s="38"/>
      <c r="B987" s="38"/>
      <c r="C987" s="38"/>
      <c r="D987" s="38"/>
      <c r="E987" s="13"/>
      <c r="F987" s="13"/>
      <c r="G987" s="67"/>
      <c r="H987" s="67"/>
      <c r="I987" s="67"/>
      <c r="J987" s="67"/>
      <c r="K987" s="38"/>
      <c r="L987" s="38"/>
      <c r="M987" s="66" t="str">
        <f aca="false">IF(OR($D987="",$F987=""),"",IF(COUNTIFS($D$7:$D987,$D987,$F$7:$F987,$F987)=1,1,0))</f>
        <v/>
      </c>
    </row>
    <row r="988" customFormat="false" ht="15" hidden="false" customHeight="true" outlineLevel="0" collapsed="false">
      <c r="A988" s="56"/>
      <c r="B988" s="56"/>
      <c r="C988" s="56"/>
      <c r="D988" s="56"/>
      <c r="E988" s="16"/>
      <c r="F988" s="16"/>
      <c r="G988" s="67"/>
      <c r="H988" s="67"/>
      <c r="I988" s="67"/>
      <c r="J988" s="67"/>
      <c r="K988" s="56"/>
      <c r="L988" s="56"/>
      <c r="M988" s="66" t="str">
        <f aca="false">IF(OR($D988="",$F988=""),"",IF(COUNTIFS($D$7:$D988,$D988,$F$7:$F988,$F988)=1,1,0))</f>
        <v/>
      </c>
    </row>
    <row r="989" customFormat="false" ht="15" hidden="false" customHeight="true" outlineLevel="0" collapsed="false">
      <c r="A989" s="38"/>
      <c r="B989" s="38"/>
      <c r="C989" s="38"/>
      <c r="D989" s="38"/>
      <c r="E989" s="13"/>
      <c r="F989" s="13"/>
      <c r="G989" s="67"/>
      <c r="H989" s="67"/>
      <c r="I989" s="67"/>
      <c r="J989" s="67"/>
      <c r="K989" s="38"/>
      <c r="L989" s="38"/>
      <c r="M989" s="66" t="str">
        <f aca="false">IF(OR($D989="",$F989=""),"",IF(COUNTIFS($D$7:$D989,$D989,$F$7:$F989,$F989)=1,1,0))</f>
        <v/>
      </c>
    </row>
    <row r="990" customFormat="false" ht="15" hidden="false" customHeight="true" outlineLevel="0" collapsed="false">
      <c r="A990" s="56"/>
      <c r="B990" s="56"/>
      <c r="C990" s="56"/>
      <c r="D990" s="56"/>
      <c r="E990" s="16"/>
      <c r="F990" s="16"/>
      <c r="G990" s="67"/>
      <c r="H990" s="67"/>
      <c r="I990" s="67"/>
      <c r="J990" s="67"/>
      <c r="K990" s="56"/>
      <c r="L990" s="56"/>
      <c r="M990" s="66" t="str">
        <f aca="false">IF(OR($D990="",$F990=""),"",IF(COUNTIFS($D$7:$D990,$D990,$F$7:$F990,$F990)=1,1,0))</f>
        <v/>
      </c>
    </row>
    <row r="991" customFormat="false" ht="15" hidden="false" customHeight="true" outlineLevel="0" collapsed="false">
      <c r="A991" s="38"/>
      <c r="B991" s="38"/>
      <c r="C991" s="38"/>
      <c r="D991" s="38"/>
      <c r="E991" s="13"/>
      <c r="F991" s="13"/>
      <c r="G991" s="67"/>
      <c r="H991" s="67"/>
      <c r="I991" s="67"/>
      <c r="J991" s="67"/>
      <c r="K991" s="38"/>
      <c r="L991" s="38"/>
      <c r="M991" s="66" t="str">
        <f aca="false">IF(OR($D991="",$F991=""),"",IF(COUNTIFS($D$7:$D991,$D991,$F$7:$F991,$F991)=1,1,0))</f>
        <v/>
      </c>
    </row>
    <row r="992" customFormat="false" ht="15" hidden="false" customHeight="true" outlineLevel="0" collapsed="false">
      <c r="A992" s="56"/>
      <c r="B992" s="56"/>
      <c r="C992" s="56"/>
      <c r="D992" s="56"/>
      <c r="E992" s="16"/>
      <c r="F992" s="16"/>
      <c r="G992" s="67"/>
      <c r="H992" s="67"/>
      <c r="I992" s="67"/>
      <c r="J992" s="67"/>
      <c r="K992" s="56"/>
      <c r="L992" s="56"/>
      <c r="M992" s="66" t="str">
        <f aca="false">IF(OR($D992="",$F992=""),"",IF(COUNTIFS($D$7:$D992,$D992,$F$7:$F992,$F992)=1,1,0))</f>
        <v/>
      </c>
    </row>
    <row r="993" customFormat="false" ht="15" hidden="false" customHeight="true" outlineLevel="0" collapsed="false">
      <c r="A993" s="38"/>
      <c r="B993" s="38"/>
      <c r="C993" s="38"/>
      <c r="D993" s="38"/>
      <c r="E993" s="13"/>
      <c r="F993" s="13"/>
      <c r="G993" s="67"/>
      <c r="H993" s="67"/>
      <c r="I993" s="67"/>
      <c r="J993" s="67"/>
      <c r="K993" s="38"/>
      <c r="L993" s="38"/>
      <c r="M993" s="66" t="str">
        <f aca="false">IF(OR($D993="",$F993=""),"",IF(COUNTIFS($D$7:$D993,$D993,$F$7:$F993,$F993)=1,1,0))</f>
        <v/>
      </c>
    </row>
    <row r="994" customFormat="false" ht="15" hidden="false" customHeight="true" outlineLevel="0" collapsed="false">
      <c r="A994" s="56"/>
      <c r="B994" s="56"/>
      <c r="C994" s="56"/>
      <c r="D994" s="56"/>
      <c r="E994" s="16"/>
      <c r="F994" s="16"/>
      <c r="G994" s="67"/>
      <c r="H994" s="67"/>
      <c r="I994" s="67"/>
      <c r="J994" s="67"/>
      <c r="K994" s="56"/>
      <c r="L994" s="56"/>
      <c r="M994" s="66" t="str">
        <f aca="false">IF(OR($D994="",$F994=""),"",IF(COUNTIFS($D$7:$D994,$D994,$F$7:$F994,$F994)=1,1,0))</f>
        <v/>
      </c>
    </row>
    <row r="995" customFormat="false" ht="15" hidden="false" customHeight="true" outlineLevel="0" collapsed="false">
      <c r="A995" s="38"/>
      <c r="B995" s="38"/>
      <c r="C995" s="38"/>
      <c r="D995" s="38"/>
      <c r="E995" s="13"/>
      <c r="F995" s="13"/>
      <c r="G995" s="67"/>
      <c r="H995" s="67"/>
      <c r="I995" s="67"/>
      <c r="J995" s="67"/>
      <c r="K995" s="38"/>
      <c r="L995" s="38"/>
      <c r="M995" s="66" t="str">
        <f aca="false">IF(OR($D995="",$F995=""),"",IF(COUNTIFS($D$7:$D995,$D995,$F$7:$F995,$F995)=1,1,0))</f>
        <v/>
      </c>
    </row>
    <row r="996" customFormat="false" ht="15" hidden="false" customHeight="true" outlineLevel="0" collapsed="false">
      <c r="A996" s="56"/>
      <c r="B996" s="56"/>
      <c r="C996" s="56"/>
      <c r="D996" s="56"/>
      <c r="E996" s="16"/>
      <c r="F996" s="16"/>
      <c r="G996" s="67"/>
      <c r="H996" s="67"/>
      <c r="I996" s="67"/>
      <c r="J996" s="67"/>
      <c r="K996" s="56"/>
      <c r="L996" s="56"/>
      <c r="M996" s="66" t="str">
        <f aca="false">IF(OR($D996="",$F996=""),"",IF(COUNTIFS($D$7:$D996,$D996,$F$7:$F996,$F996)=1,1,0))</f>
        <v/>
      </c>
    </row>
    <row r="997" customFormat="false" ht="15" hidden="false" customHeight="true" outlineLevel="0" collapsed="false">
      <c r="A997" s="38"/>
      <c r="B997" s="38"/>
      <c r="C997" s="38"/>
      <c r="D997" s="38"/>
      <c r="E997" s="13"/>
      <c r="F997" s="13"/>
      <c r="G997" s="67"/>
      <c r="H997" s="67"/>
      <c r="I997" s="67"/>
      <c r="J997" s="67"/>
      <c r="K997" s="38"/>
      <c r="L997" s="38"/>
      <c r="M997" s="66" t="str">
        <f aca="false">IF(OR($D997="",$F997=""),"",IF(COUNTIFS($D$7:$D997,$D997,$F$7:$F997,$F997)=1,1,0))</f>
        <v/>
      </c>
    </row>
    <row r="998" customFormat="false" ht="15" hidden="false" customHeight="true" outlineLevel="0" collapsed="false">
      <c r="A998" s="56"/>
      <c r="B998" s="56"/>
      <c r="C998" s="56"/>
      <c r="D998" s="56"/>
      <c r="E998" s="16"/>
      <c r="F998" s="16"/>
      <c r="G998" s="67"/>
      <c r="H998" s="67"/>
      <c r="I998" s="67"/>
      <c r="J998" s="67"/>
      <c r="K998" s="56"/>
      <c r="L998" s="56"/>
      <c r="M998" s="66" t="str">
        <f aca="false">IF(OR($D998="",$F998=""),"",IF(COUNTIFS($D$7:$D998,$D998,$F$7:$F998,$F998)=1,1,0))</f>
        <v/>
      </c>
    </row>
    <row r="999" customFormat="false" ht="15" hidden="false" customHeight="true" outlineLevel="0" collapsed="false">
      <c r="A999" s="38"/>
      <c r="B999" s="38"/>
      <c r="C999" s="38"/>
      <c r="D999" s="38"/>
      <c r="E999" s="13"/>
      <c r="F999" s="13"/>
      <c r="G999" s="67"/>
      <c r="H999" s="67"/>
      <c r="I999" s="67"/>
      <c r="J999" s="67"/>
      <c r="K999" s="38"/>
      <c r="L999" s="38"/>
      <c r="M999" s="66" t="str">
        <f aca="false">IF(OR($D999="",$F999=""),"",IF(COUNTIFS($D$7:$D999,$D999,$F$7:$F999,$F999)=1,1,0))</f>
        <v/>
      </c>
    </row>
    <row r="1000" customFormat="false" ht="15" hidden="false" customHeight="true" outlineLevel="0" collapsed="false">
      <c r="A1000" s="56"/>
      <c r="B1000" s="56"/>
      <c r="C1000" s="56"/>
      <c r="D1000" s="56"/>
      <c r="E1000" s="16"/>
      <c r="F1000" s="16"/>
      <c r="G1000" s="67"/>
      <c r="H1000" s="67"/>
      <c r="I1000" s="67"/>
      <c r="J1000" s="67"/>
      <c r="K1000" s="56"/>
      <c r="L1000" s="56"/>
      <c r="M1000" s="66" t="str">
        <f aca="false">IF(OR($D1000="",$F1000=""),"",IF(COUNTIFS($D$7:$D1000,$D1000,$F$7:$F1000,$F1000)=1,1,0))</f>
        <v/>
      </c>
    </row>
    <row r="1001" customFormat="false" ht="15" hidden="false" customHeight="true" outlineLevel="0" collapsed="false">
      <c r="A1001" s="38"/>
      <c r="B1001" s="38"/>
      <c r="C1001" s="38"/>
      <c r="D1001" s="38"/>
      <c r="E1001" s="13"/>
      <c r="F1001" s="13"/>
      <c r="G1001" s="67"/>
      <c r="H1001" s="67"/>
      <c r="I1001" s="67"/>
      <c r="J1001" s="67"/>
      <c r="K1001" s="38"/>
      <c r="L1001" s="38"/>
      <c r="M1001" s="66" t="str">
        <f aca="false">IF(OR($D1001="",$F1001=""),"",IF(COUNTIFS($D$7:$D1001,$D1001,$F$7:$F1001,$F1001)=1,1,0))</f>
        <v/>
      </c>
    </row>
    <row r="1002" customFormat="false" ht="15" hidden="false" customHeight="true" outlineLevel="0" collapsed="false">
      <c r="A1002" s="56"/>
      <c r="B1002" s="56"/>
      <c r="C1002" s="56"/>
      <c r="D1002" s="56"/>
      <c r="E1002" s="16"/>
      <c r="F1002" s="16"/>
      <c r="G1002" s="67"/>
      <c r="H1002" s="67"/>
      <c r="I1002" s="67"/>
      <c r="J1002" s="67"/>
      <c r="K1002" s="56"/>
      <c r="L1002" s="56"/>
      <c r="M1002" s="66" t="str">
        <f aca="false">IF(OR($D1002="",$F1002=""),"",IF(COUNTIFS($D$7:$D1002,$D1002,$F$7:$F1002,$F1002)=1,1,0))</f>
        <v/>
      </c>
    </row>
    <row r="1003" customFormat="false" ht="15" hidden="false" customHeight="true" outlineLevel="0" collapsed="false">
      <c r="A1003" s="38"/>
      <c r="B1003" s="38"/>
      <c r="C1003" s="38"/>
      <c r="D1003" s="38"/>
      <c r="E1003" s="13"/>
      <c r="F1003" s="13"/>
      <c r="G1003" s="67"/>
      <c r="H1003" s="67"/>
      <c r="I1003" s="67"/>
      <c r="J1003" s="67"/>
      <c r="K1003" s="38"/>
      <c r="L1003" s="38"/>
      <c r="M1003" s="66" t="str">
        <f aca="false">IF(OR($D1003="",$F1003=""),"",IF(COUNTIFS($D$7:$D1003,$D1003,$F$7:$F1003,$F1003)=1,1,0))</f>
        <v/>
      </c>
    </row>
    <row r="1004" customFormat="false" ht="15" hidden="false" customHeight="true" outlineLevel="0" collapsed="false">
      <c r="A1004" s="56"/>
      <c r="B1004" s="56"/>
      <c r="C1004" s="56"/>
      <c r="D1004" s="56"/>
      <c r="E1004" s="16"/>
      <c r="F1004" s="16"/>
      <c r="G1004" s="67"/>
      <c r="H1004" s="67"/>
      <c r="I1004" s="67"/>
      <c r="J1004" s="67"/>
      <c r="K1004" s="56"/>
      <c r="L1004" s="56"/>
      <c r="M1004" s="66" t="str">
        <f aca="false">IF(OR($D1004="",$F1004=""),"",IF(COUNTIFS($D$7:$D1004,$D1004,$F$7:$F1004,$F1004)=1,1,0))</f>
        <v/>
      </c>
    </row>
    <row r="1005" customFormat="false" ht="15" hidden="false" customHeight="true" outlineLevel="0" collapsed="false">
      <c r="A1005" s="38"/>
      <c r="B1005" s="38"/>
      <c r="C1005" s="38"/>
      <c r="D1005" s="38"/>
      <c r="E1005" s="13"/>
      <c r="F1005" s="13"/>
      <c r="G1005" s="67"/>
      <c r="H1005" s="67"/>
      <c r="I1005" s="67"/>
      <c r="J1005" s="67"/>
      <c r="K1005" s="38"/>
      <c r="L1005" s="38"/>
      <c r="M1005" s="66" t="str">
        <f aca="false">IF(OR($D1005="",$F1005=""),"",IF(COUNTIFS($D$7:$D1005,$D1005,$F$7:$F1005,$F1005)=1,1,0))</f>
        <v/>
      </c>
    </row>
    <row r="1006" customFormat="false" ht="15" hidden="false" customHeight="true" outlineLevel="0" collapsed="false">
      <c r="A1006" s="56"/>
      <c r="B1006" s="56"/>
      <c r="C1006" s="56"/>
      <c r="D1006" s="56"/>
      <c r="E1006" s="16"/>
      <c r="F1006" s="16"/>
      <c r="G1006" s="67"/>
      <c r="H1006" s="67"/>
      <c r="I1006" s="67"/>
      <c r="J1006" s="67"/>
      <c r="K1006" s="56"/>
      <c r="L1006" s="56"/>
      <c r="M1006" s="66" t="str">
        <f aca="false">IF(OR($D1006="",$F1006=""),"",IF(COUNTIFS($D$7:$D1006,$D1006,$F$7:$F1006,$F1006)=1,1,0))</f>
        <v/>
      </c>
    </row>
    <row r="1007" customFormat="false" ht="15" hidden="false" customHeight="true" outlineLevel="0" collapsed="false">
      <c r="A1007" s="38"/>
      <c r="B1007" s="38"/>
      <c r="C1007" s="38"/>
      <c r="D1007" s="38"/>
      <c r="E1007" s="13"/>
      <c r="F1007" s="13"/>
      <c r="G1007" s="67"/>
      <c r="H1007" s="67"/>
      <c r="I1007" s="67"/>
      <c r="J1007" s="67"/>
      <c r="K1007" s="38"/>
      <c r="L1007" s="38"/>
      <c r="M1007" s="66" t="str">
        <f aca="false">IF(OR($D1007="",$F1007=""),"",IF(COUNTIFS($D$7:$D1007,$D1007,$F$7:$F1007,$F1007)=1,1,0))</f>
        <v/>
      </c>
    </row>
    <row r="1008" customFormat="false" ht="15" hidden="false" customHeight="true" outlineLevel="0" collapsed="false">
      <c r="A1008" s="56"/>
      <c r="B1008" s="56"/>
      <c r="C1008" s="56"/>
      <c r="D1008" s="56"/>
      <c r="E1008" s="16"/>
      <c r="F1008" s="16"/>
      <c r="G1008" s="67"/>
      <c r="H1008" s="67"/>
      <c r="I1008" s="67"/>
      <c r="J1008" s="67"/>
      <c r="K1008" s="56"/>
      <c r="L1008" s="56"/>
      <c r="M1008" s="66" t="str">
        <f aca="false">IF(OR($D1008="",$F1008=""),"",IF(COUNTIFS($D$7:$D1008,$D1008,$F$7:$F1008,$F1008)=1,1,0))</f>
        <v/>
      </c>
    </row>
    <row r="1009" customFormat="false" ht="15" hidden="false" customHeight="true" outlineLevel="0" collapsed="false">
      <c r="A1009" s="38"/>
      <c r="B1009" s="38"/>
      <c r="C1009" s="38"/>
      <c r="D1009" s="38"/>
      <c r="E1009" s="13"/>
      <c r="F1009" s="13"/>
      <c r="G1009" s="67"/>
      <c r="H1009" s="67"/>
      <c r="I1009" s="67"/>
      <c r="J1009" s="67"/>
      <c r="K1009" s="38"/>
      <c r="L1009" s="38"/>
      <c r="M1009" s="66" t="str">
        <f aca="false">IF(OR($D1009="",$F1009=""),"",IF(COUNTIFS($D$7:$D1009,$D1009,$F$7:$F1009,$F1009)=1,1,0))</f>
        <v/>
      </c>
    </row>
    <row r="1010" customFormat="false" ht="15" hidden="false" customHeight="true" outlineLevel="0" collapsed="false">
      <c r="A1010" s="56"/>
      <c r="B1010" s="56"/>
      <c r="C1010" s="56"/>
      <c r="D1010" s="56"/>
      <c r="E1010" s="16"/>
      <c r="F1010" s="16"/>
      <c r="G1010" s="67"/>
      <c r="H1010" s="67"/>
      <c r="I1010" s="67"/>
      <c r="J1010" s="67"/>
      <c r="K1010" s="56"/>
      <c r="L1010" s="56"/>
      <c r="M1010" s="66" t="str">
        <f aca="false">IF(OR($D1010="",$F1010=""),"",IF(COUNTIFS($D$7:$D1010,$D1010,$F$7:$F1010,$F1010)=1,1,0))</f>
        <v/>
      </c>
    </row>
    <row r="1011" customFormat="false" ht="15" hidden="false" customHeight="true" outlineLevel="0" collapsed="false">
      <c r="A1011" s="38"/>
      <c r="B1011" s="38"/>
      <c r="C1011" s="38"/>
      <c r="D1011" s="38"/>
      <c r="E1011" s="13"/>
      <c r="F1011" s="13"/>
      <c r="G1011" s="67"/>
      <c r="H1011" s="67"/>
      <c r="I1011" s="67"/>
      <c r="J1011" s="67"/>
      <c r="K1011" s="38"/>
      <c r="L1011" s="38"/>
      <c r="M1011" s="66" t="str">
        <f aca="false">IF(OR($D1011="",$F1011=""),"",IF(COUNTIFS($D$7:$D1011,$D1011,$F$7:$F1011,$F1011)=1,1,0))</f>
        <v/>
      </c>
    </row>
    <row r="1012" customFormat="false" ht="15" hidden="false" customHeight="true" outlineLevel="0" collapsed="false">
      <c r="A1012" s="56"/>
      <c r="B1012" s="56"/>
      <c r="C1012" s="56"/>
      <c r="D1012" s="56"/>
      <c r="E1012" s="16"/>
      <c r="F1012" s="16"/>
      <c r="G1012" s="67"/>
      <c r="H1012" s="67"/>
      <c r="I1012" s="67"/>
      <c r="J1012" s="67"/>
      <c r="K1012" s="56"/>
      <c r="L1012" s="56"/>
      <c r="M1012" s="66" t="str">
        <f aca="false">IF(OR($D1012="",$F1012=""),"",IF(COUNTIFS($D$7:$D1012,$D1012,$F$7:$F1012,$F1012)=1,1,0))</f>
        <v/>
      </c>
    </row>
    <row r="1013" customFormat="false" ht="15" hidden="false" customHeight="true" outlineLevel="0" collapsed="false">
      <c r="A1013" s="38"/>
      <c r="B1013" s="38"/>
      <c r="C1013" s="38"/>
      <c r="D1013" s="38"/>
      <c r="E1013" s="13"/>
      <c r="F1013" s="13"/>
      <c r="G1013" s="67"/>
      <c r="H1013" s="67"/>
      <c r="I1013" s="67"/>
      <c r="J1013" s="67"/>
      <c r="K1013" s="38"/>
      <c r="L1013" s="38"/>
      <c r="M1013" s="66" t="str">
        <f aca="false">IF(OR($D1013="",$F1013=""),"",IF(COUNTIFS($D$7:$D1013,$D1013,$F$7:$F1013,$F1013)=1,1,0))</f>
        <v/>
      </c>
    </row>
    <row r="1014" customFormat="false" ht="15" hidden="false" customHeight="true" outlineLevel="0" collapsed="false">
      <c r="A1014" s="56"/>
      <c r="B1014" s="56"/>
      <c r="C1014" s="56"/>
      <c r="D1014" s="56"/>
      <c r="E1014" s="16"/>
      <c r="F1014" s="16"/>
      <c r="G1014" s="67"/>
      <c r="H1014" s="67"/>
      <c r="I1014" s="67"/>
      <c r="J1014" s="67"/>
      <c r="K1014" s="56"/>
      <c r="L1014" s="56"/>
      <c r="M1014" s="66" t="str">
        <f aca="false">IF(OR($D1014="",$F1014=""),"",IF(COUNTIFS($D$7:$D1014,$D1014,$F$7:$F1014,$F1014)=1,1,0))</f>
        <v/>
      </c>
    </row>
    <row r="1015" customFormat="false" ht="15" hidden="false" customHeight="true" outlineLevel="0" collapsed="false">
      <c r="A1015" s="38"/>
      <c r="B1015" s="38"/>
      <c r="C1015" s="38"/>
      <c r="D1015" s="38"/>
      <c r="E1015" s="13"/>
      <c r="F1015" s="13"/>
      <c r="G1015" s="67"/>
      <c r="H1015" s="67"/>
      <c r="I1015" s="67"/>
      <c r="J1015" s="67"/>
      <c r="K1015" s="38"/>
      <c r="L1015" s="38"/>
      <c r="M1015" s="66" t="str">
        <f aca="false">IF(OR($D1015="",$F1015=""),"",IF(COUNTIFS($D$7:$D1015,$D1015,$F$7:$F1015,$F1015)=1,1,0))</f>
        <v/>
      </c>
    </row>
    <row r="1016" customFormat="false" ht="15" hidden="false" customHeight="true" outlineLevel="0" collapsed="false">
      <c r="A1016" s="56"/>
      <c r="B1016" s="56"/>
      <c r="C1016" s="56"/>
      <c r="D1016" s="56"/>
      <c r="E1016" s="16"/>
      <c r="F1016" s="16"/>
      <c r="G1016" s="67"/>
      <c r="H1016" s="67"/>
      <c r="I1016" s="67"/>
      <c r="J1016" s="67"/>
      <c r="K1016" s="56"/>
      <c r="L1016" s="56"/>
      <c r="M1016" s="66" t="str">
        <f aca="false">IF(OR($D1016="",$F1016=""),"",IF(COUNTIFS($D$7:$D1016,$D1016,$F$7:$F1016,$F1016)=1,1,0))</f>
        <v/>
      </c>
    </row>
    <row r="1017" customFormat="false" ht="15" hidden="false" customHeight="true" outlineLevel="0" collapsed="false">
      <c r="A1017" s="38"/>
      <c r="B1017" s="38"/>
      <c r="C1017" s="38"/>
      <c r="D1017" s="38"/>
      <c r="E1017" s="13"/>
      <c r="F1017" s="13"/>
      <c r="G1017" s="67"/>
      <c r="H1017" s="67"/>
      <c r="I1017" s="67"/>
      <c r="J1017" s="67"/>
      <c r="K1017" s="38"/>
      <c r="L1017" s="38"/>
      <c r="M1017" s="66" t="str">
        <f aca="false">IF(OR($D1017="",$F1017=""),"",IF(COUNTIFS($D$7:$D1017,$D1017,$F$7:$F1017,$F1017)=1,1,0))</f>
        <v/>
      </c>
    </row>
    <row r="1018" customFormat="false" ht="15" hidden="false" customHeight="true" outlineLevel="0" collapsed="false">
      <c r="A1018" s="56"/>
      <c r="B1018" s="56"/>
      <c r="C1018" s="56"/>
      <c r="D1018" s="56"/>
      <c r="E1018" s="16"/>
      <c r="F1018" s="16"/>
      <c r="G1018" s="67"/>
      <c r="H1018" s="67"/>
      <c r="I1018" s="67"/>
      <c r="J1018" s="67"/>
      <c r="K1018" s="56"/>
      <c r="L1018" s="56"/>
      <c r="M1018" s="66" t="str">
        <f aca="false">IF(OR($D1018="",$F1018=""),"",IF(COUNTIFS($D$7:$D1018,$D1018,$F$7:$F1018,$F1018)=1,1,0))</f>
        <v/>
      </c>
    </row>
    <row r="1019" customFormat="false" ht="15" hidden="false" customHeight="true" outlineLevel="0" collapsed="false">
      <c r="A1019" s="38"/>
      <c r="B1019" s="38"/>
      <c r="C1019" s="38"/>
      <c r="D1019" s="38"/>
      <c r="E1019" s="13"/>
      <c r="F1019" s="13"/>
      <c r="G1019" s="67"/>
      <c r="H1019" s="67"/>
      <c r="I1019" s="67"/>
      <c r="J1019" s="67"/>
      <c r="K1019" s="38"/>
      <c r="L1019" s="38"/>
      <c r="M1019" s="66" t="str">
        <f aca="false">IF(OR($D1019="",$F1019=""),"",IF(COUNTIFS($D$7:$D1019,$D1019,$F$7:$F1019,$F1019)=1,1,0))</f>
        <v/>
      </c>
    </row>
    <row r="1020" customFormat="false" ht="15" hidden="false" customHeight="true" outlineLevel="0" collapsed="false">
      <c r="A1020" s="56"/>
      <c r="B1020" s="56"/>
      <c r="C1020" s="56"/>
      <c r="D1020" s="56"/>
      <c r="E1020" s="16"/>
      <c r="F1020" s="16"/>
      <c r="G1020" s="67"/>
      <c r="H1020" s="67"/>
      <c r="I1020" s="67"/>
      <c r="J1020" s="67"/>
      <c r="K1020" s="56"/>
      <c r="L1020" s="56"/>
      <c r="M1020" s="66" t="str">
        <f aca="false">IF(OR($D1020="",$F1020=""),"",IF(COUNTIFS($D$7:$D1020,$D1020,$F$7:$F1020,$F1020)=1,1,0))</f>
        <v/>
      </c>
    </row>
    <row r="1021" customFormat="false" ht="15" hidden="false" customHeight="true" outlineLevel="0" collapsed="false">
      <c r="A1021" s="38"/>
      <c r="B1021" s="38"/>
      <c r="C1021" s="38"/>
      <c r="D1021" s="38"/>
      <c r="E1021" s="13"/>
      <c r="F1021" s="13"/>
      <c r="G1021" s="67"/>
      <c r="H1021" s="67"/>
      <c r="I1021" s="67"/>
      <c r="J1021" s="67"/>
      <c r="K1021" s="38"/>
      <c r="L1021" s="38"/>
      <c r="M1021" s="66" t="str">
        <f aca="false">IF(OR($D1021="",$F1021=""),"",IF(COUNTIFS($D$7:$D1021,$D1021,$F$7:$F1021,$F1021)=1,1,0))</f>
        <v/>
      </c>
    </row>
    <row r="1022" customFormat="false" ht="15" hidden="false" customHeight="true" outlineLevel="0" collapsed="false">
      <c r="A1022" s="56"/>
      <c r="B1022" s="56"/>
      <c r="C1022" s="56"/>
      <c r="D1022" s="56"/>
      <c r="E1022" s="16"/>
      <c r="F1022" s="16"/>
      <c r="G1022" s="67"/>
      <c r="H1022" s="67"/>
      <c r="I1022" s="67"/>
      <c r="J1022" s="67"/>
      <c r="K1022" s="56"/>
      <c r="L1022" s="56"/>
      <c r="M1022" s="66" t="str">
        <f aca="false">IF(OR($D1022="",$F1022=""),"",IF(COUNTIFS($D$7:$D1022,$D1022,$F$7:$F1022,$F1022)=1,1,0))</f>
        <v/>
      </c>
    </row>
    <row r="1023" customFormat="false" ht="15" hidden="false" customHeight="true" outlineLevel="0" collapsed="false">
      <c r="A1023" s="38"/>
      <c r="B1023" s="38"/>
      <c r="C1023" s="38"/>
      <c r="D1023" s="38"/>
      <c r="E1023" s="13"/>
      <c r="F1023" s="13"/>
      <c r="G1023" s="67"/>
      <c r="H1023" s="67"/>
      <c r="I1023" s="67"/>
      <c r="J1023" s="67"/>
      <c r="K1023" s="38"/>
      <c r="L1023" s="38"/>
      <c r="M1023" s="66" t="str">
        <f aca="false">IF(OR($D1023="",$F1023=""),"",IF(COUNTIFS($D$7:$D1023,$D1023,$F$7:$F1023,$F1023)=1,1,0))</f>
        <v/>
      </c>
    </row>
    <row r="1024" customFormat="false" ht="15" hidden="false" customHeight="true" outlineLevel="0" collapsed="false">
      <c r="A1024" s="56"/>
      <c r="B1024" s="56"/>
      <c r="C1024" s="56"/>
      <c r="D1024" s="56"/>
      <c r="E1024" s="16"/>
      <c r="F1024" s="16"/>
      <c r="G1024" s="67"/>
      <c r="H1024" s="67"/>
      <c r="I1024" s="67"/>
      <c r="J1024" s="67"/>
      <c r="K1024" s="56"/>
      <c r="L1024" s="56"/>
      <c r="M1024" s="66" t="str">
        <f aca="false">IF(OR($D1024="",$F1024=""),"",IF(COUNTIFS($D$7:$D1024,$D1024,$F$7:$F1024,$F1024)=1,1,0))</f>
        <v/>
      </c>
    </row>
    <row r="1025" customFormat="false" ht="15" hidden="false" customHeight="true" outlineLevel="0" collapsed="false">
      <c r="A1025" s="38"/>
      <c r="B1025" s="38"/>
      <c r="C1025" s="38"/>
      <c r="D1025" s="38"/>
      <c r="E1025" s="13"/>
      <c r="F1025" s="13"/>
      <c r="G1025" s="67"/>
      <c r="H1025" s="67"/>
      <c r="I1025" s="67"/>
      <c r="J1025" s="67"/>
      <c r="K1025" s="38"/>
      <c r="L1025" s="38"/>
      <c r="M1025" s="66" t="str">
        <f aca="false">IF(OR($D1025="",$F1025=""),"",IF(COUNTIFS($D$7:$D1025,$D1025,$F$7:$F1025,$F1025)=1,1,0))</f>
        <v/>
      </c>
    </row>
    <row r="1026" customFormat="false" ht="15" hidden="false" customHeight="true" outlineLevel="0" collapsed="false">
      <c r="A1026" s="56"/>
      <c r="B1026" s="56"/>
      <c r="C1026" s="56"/>
      <c r="D1026" s="56"/>
      <c r="E1026" s="16"/>
      <c r="F1026" s="16"/>
      <c r="G1026" s="67"/>
      <c r="H1026" s="67"/>
      <c r="I1026" s="67"/>
      <c r="J1026" s="67"/>
      <c r="K1026" s="56"/>
      <c r="L1026" s="56"/>
      <c r="M1026" s="66" t="str">
        <f aca="false">IF(OR($D1026="",$F1026=""),"",IF(COUNTIFS($D$7:$D1026,$D1026,$F$7:$F1026,$F1026)=1,1,0))</f>
        <v/>
      </c>
    </row>
    <row r="1027" customFormat="false" ht="15" hidden="false" customHeight="true" outlineLevel="0" collapsed="false">
      <c r="A1027" s="38"/>
      <c r="B1027" s="38"/>
      <c r="C1027" s="38"/>
      <c r="D1027" s="38"/>
      <c r="E1027" s="13"/>
      <c r="F1027" s="13"/>
      <c r="G1027" s="67"/>
      <c r="H1027" s="67"/>
      <c r="I1027" s="67"/>
      <c r="J1027" s="67"/>
      <c r="K1027" s="38"/>
      <c r="L1027" s="38"/>
      <c r="M1027" s="66" t="str">
        <f aca="false">IF(OR($D1027="",$F1027=""),"",IF(COUNTIFS($D$7:$D1027,$D1027,$F$7:$F1027,$F1027)=1,1,0))</f>
        <v/>
      </c>
    </row>
    <row r="1028" customFormat="false" ht="15" hidden="false" customHeight="true" outlineLevel="0" collapsed="false">
      <c r="A1028" s="56"/>
      <c r="B1028" s="56"/>
      <c r="C1028" s="56"/>
      <c r="D1028" s="56"/>
      <c r="E1028" s="16"/>
      <c r="F1028" s="16"/>
      <c r="G1028" s="67"/>
      <c r="H1028" s="67"/>
      <c r="I1028" s="67"/>
      <c r="J1028" s="67"/>
      <c r="K1028" s="56"/>
      <c r="L1028" s="56"/>
      <c r="M1028" s="66" t="str">
        <f aca="false">IF(OR($D1028="",$F1028=""),"",IF(COUNTIFS($D$7:$D1028,$D1028,$F$7:$F1028,$F1028)=1,1,0))</f>
        <v/>
      </c>
    </row>
    <row r="1029" customFormat="false" ht="15" hidden="false" customHeight="true" outlineLevel="0" collapsed="false">
      <c r="A1029" s="38"/>
      <c r="B1029" s="38"/>
      <c r="C1029" s="38"/>
      <c r="D1029" s="38"/>
      <c r="E1029" s="13"/>
      <c r="F1029" s="13"/>
      <c r="G1029" s="67"/>
      <c r="H1029" s="67"/>
      <c r="I1029" s="67"/>
      <c r="J1029" s="67"/>
      <c r="K1029" s="38"/>
      <c r="L1029" s="38"/>
      <c r="M1029" s="66" t="str">
        <f aca="false">IF(OR($D1029="",$F1029=""),"",IF(COUNTIFS($D$7:$D1029,$D1029,$F$7:$F1029,$F1029)=1,1,0))</f>
        <v/>
      </c>
    </row>
    <row r="1030" customFormat="false" ht="15" hidden="false" customHeight="true" outlineLevel="0" collapsed="false">
      <c r="A1030" s="56"/>
      <c r="B1030" s="56"/>
      <c r="C1030" s="56"/>
      <c r="D1030" s="56"/>
      <c r="E1030" s="16"/>
      <c r="F1030" s="16"/>
      <c r="G1030" s="67"/>
      <c r="H1030" s="67"/>
      <c r="I1030" s="67"/>
      <c r="J1030" s="67"/>
      <c r="K1030" s="56"/>
      <c r="L1030" s="56"/>
      <c r="M1030" s="66" t="str">
        <f aca="false">IF(OR($D1030="",$F1030=""),"",IF(COUNTIFS($D$7:$D1030,$D1030,$F$7:$F1030,$F1030)=1,1,0))</f>
        <v/>
      </c>
    </row>
    <row r="1031" customFormat="false" ht="15" hidden="false" customHeight="true" outlineLevel="0" collapsed="false">
      <c r="A1031" s="38"/>
      <c r="B1031" s="38"/>
      <c r="C1031" s="38"/>
      <c r="D1031" s="38"/>
      <c r="E1031" s="13"/>
      <c r="F1031" s="13"/>
      <c r="G1031" s="67"/>
      <c r="H1031" s="67"/>
      <c r="I1031" s="67"/>
      <c r="J1031" s="67"/>
      <c r="K1031" s="38"/>
      <c r="L1031" s="38"/>
      <c r="M1031" s="66" t="str">
        <f aca="false">IF(OR($D1031="",$F1031=""),"",IF(COUNTIFS($D$7:$D1031,$D1031,$F$7:$F1031,$F1031)=1,1,0))</f>
        <v/>
      </c>
    </row>
    <row r="1032" customFormat="false" ht="15" hidden="false" customHeight="true" outlineLevel="0" collapsed="false">
      <c r="A1032" s="56"/>
      <c r="B1032" s="56"/>
      <c r="C1032" s="56"/>
      <c r="D1032" s="56"/>
      <c r="E1032" s="16"/>
      <c r="F1032" s="16"/>
      <c r="G1032" s="67"/>
      <c r="H1032" s="67"/>
      <c r="I1032" s="67"/>
      <c r="J1032" s="67"/>
      <c r="K1032" s="56"/>
      <c r="L1032" s="56"/>
      <c r="M1032" s="66" t="str">
        <f aca="false">IF(OR($D1032="",$F1032=""),"",IF(COUNTIFS($D$7:$D1032,$D1032,$F$7:$F1032,$F1032)=1,1,0))</f>
        <v/>
      </c>
    </row>
    <row r="1033" customFormat="false" ht="15" hidden="false" customHeight="true" outlineLevel="0" collapsed="false">
      <c r="A1033" s="38"/>
      <c r="B1033" s="38"/>
      <c r="C1033" s="38"/>
      <c r="D1033" s="38"/>
      <c r="E1033" s="13"/>
      <c r="F1033" s="13"/>
      <c r="G1033" s="67"/>
      <c r="H1033" s="67"/>
      <c r="I1033" s="67"/>
      <c r="J1033" s="67"/>
      <c r="K1033" s="38"/>
      <c r="L1033" s="38"/>
      <c r="M1033" s="66" t="str">
        <f aca="false">IF(OR($D1033="",$F1033=""),"",IF(COUNTIFS($D$7:$D1033,$D1033,$F$7:$F1033,$F1033)=1,1,0))</f>
        <v/>
      </c>
    </row>
    <row r="1034" customFormat="false" ht="15" hidden="false" customHeight="true" outlineLevel="0" collapsed="false">
      <c r="A1034" s="56"/>
      <c r="B1034" s="56"/>
      <c r="C1034" s="56"/>
      <c r="D1034" s="56"/>
      <c r="E1034" s="16"/>
      <c r="F1034" s="16"/>
      <c r="G1034" s="67"/>
      <c r="H1034" s="67"/>
      <c r="I1034" s="67"/>
      <c r="J1034" s="67"/>
      <c r="K1034" s="56"/>
      <c r="L1034" s="56"/>
      <c r="M1034" s="66" t="str">
        <f aca="false">IF(OR($D1034="",$F1034=""),"",IF(COUNTIFS($D$7:$D1034,$D1034,$F$7:$F1034,$F1034)=1,1,0))</f>
        <v/>
      </c>
    </row>
    <row r="1035" customFormat="false" ht="15" hidden="false" customHeight="true" outlineLevel="0" collapsed="false">
      <c r="A1035" s="38"/>
      <c r="B1035" s="38"/>
      <c r="C1035" s="38"/>
      <c r="D1035" s="38"/>
      <c r="E1035" s="13"/>
      <c r="F1035" s="13"/>
      <c r="G1035" s="67"/>
      <c r="H1035" s="67"/>
      <c r="I1035" s="67"/>
      <c r="J1035" s="67"/>
      <c r="K1035" s="38"/>
      <c r="L1035" s="38"/>
      <c r="M1035" s="66" t="str">
        <f aca="false">IF(OR($D1035="",$F1035=""),"",IF(COUNTIFS($D$7:$D1035,$D1035,$F$7:$F1035,$F1035)=1,1,0))</f>
        <v/>
      </c>
    </row>
    <row r="1036" customFormat="false" ht="15" hidden="false" customHeight="true" outlineLevel="0" collapsed="false">
      <c r="A1036" s="56"/>
      <c r="B1036" s="56"/>
      <c r="C1036" s="56"/>
      <c r="D1036" s="56"/>
      <c r="E1036" s="16"/>
      <c r="F1036" s="16"/>
      <c r="G1036" s="67"/>
      <c r="H1036" s="67"/>
      <c r="I1036" s="67"/>
      <c r="J1036" s="67"/>
      <c r="K1036" s="56"/>
      <c r="L1036" s="56"/>
      <c r="M1036" s="66" t="str">
        <f aca="false">IF(OR($D1036="",$F1036=""),"",IF(COUNTIFS($D$7:$D1036,$D1036,$F$7:$F1036,$F1036)=1,1,0))</f>
        <v/>
      </c>
    </row>
    <row r="1037" customFormat="false" ht="15" hidden="false" customHeight="true" outlineLevel="0" collapsed="false">
      <c r="A1037" s="38"/>
      <c r="B1037" s="38"/>
      <c r="C1037" s="38"/>
      <c r="D1037" s="38"/>
      <c r="E1037" s="13"/>
      <c r="F1037" s="13"/>
      <c r="G1037" s="67"/>
      <c r="H1037" s="67"/>
      <c r="I1037" s="67"/>
      <c r="J1037" s="67"/>
      <c r="K1037" s="38"/>
      <c r="L1037" s="38"/>
      <c r="M1037" s="66" t="str">
        <f aca="false">IF(OR($D1037="",$F1037=""),"",IF(COUNTIFS($D$7:$D1037,$D1037,$F$7:$F1037,$F1037)=1,1,0))</f>
        <v/>
      </c>
    </row>
    <row r="1038" customFormat="false" ht="15" hidden="false" customHeight="true" outlineLevel="0" collapsed="false">
      <c r="A1038" s="56"/>
      <c r="B1038" s="56"/>
      <c r="C1038" s="56"/>
      <c r="D1038" s="56"/>
      <c r="E1038" s="16"/>
      <c r="F1038" s="16"/>
      <c r="G1038" s="67"/>
      <c r="H1038" s="67"/>
      <c r="I1038" s="67"/>
      <c r="J1038" s="67"/>
      <c r="K1038" s="56"/>
      <c r="L1038" s="56"/>
      <c r="M1038" s="66" t="str">
        <f aca="false">IF(OR($D1038="",$F1038=""),"",IF(COUNTIFS($D$7:$D1038,$D1038,$F$7:$F1038,$F1038)=1,1,0))</f>
        <v/>
      </c>
    </row>
    <row r="1039" customFormat="false" ht="15" hidden="false" customHeight="true" outlineLevel="0" collapsed="false">
      <c r="A1039" s="38"/>
      <c r="B1039" s="38"/>
      <c r="C1039" s="38"/>
      <c r="D1039" s="38"/>
      <c r="E1039" s="13"/>
      <c r="F1039" s="13"/>
      <c r="G1039" s="67"/>
      <c r="H1039" s="67"/>
      <c r="I1039" s="67"/>
      <c r="J1039" s="67"/>
      <c r="K1039" s="38"/>
      <c r="L1039" s="38"/>
      <c r="M1039" s="66" t="str">
        <f aca="false">IF(OR($D1039="",$F1039=""),"",IF(COUNTIFS($D$7:$D1039,$D1039,$F$7:$F1039,$F1039)=1,1,0))</f>
        <v/>
      </c>
    </row>
    <row r="1040" customFormat="false" ht="15" hidden="false" customHeight="true" outlineLevel="0" collapsed="false">
      <c r="A1040" s="56"/>
      <c r="B1040" s="56"/>
      <c r="C1040" s="56"/>
      <c r="D1040" s="56"/>
      <c r="E1040" s="16"/>
      <c r="F1040" s="16"/>
      <c r="G1040" s="67"/>
      <c r="H1040" s="67"/>
      <c r="I1040" s="67"/>
      <c r="J1040" s="67"/>
      <c r="K1040" s="56"/>
      <c r="L1040" s="56"/>
      <c r="M1040" s="66" t="str">
        <f aca="false">IF(OR($D1040="",$F1040=""),"",IF(COUNTIFS($D$7:$D1040,$D1040,$F$7:$F1040,$F1040)=1,1,0))</f>
        <v/>
      </c>
    </row>
    <row r="1041" customFormat="false" ht="15" hidden="false" customHeight="true" outlineLevel="0" collapsed="false">
      <c r="A1041" s="38"/>
      <c r="B1041" s="38"/>
      <c r="C1041" s="38"/>
      <c r="D1041" s="38"/>
      <c r="E1041" s="13"/>
      <c r="F1041" s="13"/>
      <c r="G1041" s="67"/>
      <c r="H1041" s="67"/>
      <c r="I1041" s="67"/>
      <c r="J1041" s="67"/>
      <c r="K1041" s="38"/>
      <c r="L1041" s="38"/>
      <c r="M1041" s="66" t="str">
        <f aca="false">IF(OR($D1041="",$F1041=""),"",IF(COUNTIFS($D$7:$D1041,$D1041,$F$7:$F1041,$F1041)=1,1,0))</f>
        <v/>
      </c>
    </row>
    <row r="1042" customFormat="false" ht="15" hidden="false" customHeight="true" outlineLevel="0" collapsed="false">
      <c r="A1042" s="56"/>
      <c r="B1042" s="56"/>
      <c r="C1042" s="56"/>
      <c r="D1042" s="56"/>
      <c r="E1042" s="16"/>
      <c r="F1042" s="16"/>
      <c r="G1042" s="67"/>
      <c r="H1042" s="67"/>
      <c r="I1042" s="67"/>
      <c r="J1042" s="67"/>
      <c r="K1042" s="56"/>
      <c r="L1042" s="56"/>
      <c r="M1042" s="66" t="str">
        <f aca="false">IF(OR($D1042="",$F1042=""),"",IF(COUNTIFS($D$7:$D1042,$D1042,$F$7:$F1042,$F1042)=1,1,0))</f>
        <v/>
      </c>
    </row>
    <row r="1043" customFormat="false" ht="15" hidden="false" customHeight="true" outlineLevel="0" collapsed="false">
      <c r="A1043" s="38"/>
      <c r="B1043" s="38"/>
      <c r="C1043" s="38"/>
      <c r="D1043" s="38"/>
      <c r="E1043" s="13"/>
      <c r="F1043" s="13"/>
      <c r="G1043" s="67"/>
      <c r="H1043" s="67"/>
      <c r="I1043" s="67"/>
      <c r="J1043" s="67"/>
      <c r="K1043" s="38"/>
      <c r="L1043" s="38"/>
      <c r="M1043" s="66" t="str">
        <f aca="false">IF(OR($D1043="",$F1043=""),"",IF(COUNTIFS($D$7:$D1043,$D1043,$F$7:$F1043,$F1043)=1,1,0))</f>
        <v/>
      </c>
    </row>
    <row r="1044" customFormat="false" ht="15" hidden="false" customHeight="true" outlineLevel="0" collapsed="false">
      <c r="A1044" s="56"/>
      <c r="B1044" s="56"/>
      <c r="C1044" s="56"/>
      <c r="D1044" s="56"/>
      <c r="E1044" s="16"/>
      <c r="F1044" s="16"/>
      <c r="G1044" s="67"/>
      <c r="H1044" s="67"/>
      <c r="I1044" s="67"/>
      <c r="J1044" s="67"/>
      <c r="K1044" s="56"/>
      <c r="L1044" s="56"/>
      <c r="M1044" s="66" t="str">
        <f aca="false">IF(OR($D1044="",$F1044=""),"",IF(COUNTIFS($D$7:$D1044,$D1044,$F$7:$F1044,$F1044)=1,1,0))</f>
        <v/>
      </c>
    </row>
    <row r="1045" customFormat="false" ht="15" hidden="false" customHeight="true" outlineLevel="0" collapsed="false">
      <c r="A1045" s="38"/>
      <c r="B1045" s="38"/>
      <c r="C1045" s="38"/>
      <c r="D1045" s="38"/>
      <c r="E1045" s="13"/>
      <c r="F1045" s="13"/>
      <c r="G1045" s="67"/>
      <c r="H1045" s="67"/>
      <c r="I1045" s="67"/>
      <c r="J1045" s="67"/>
      <c r="K1045" s="38"/>
      <c r="L1045" s="38"/>
      <c r="M1045" s="66" t="str">
        <f aca="false">IF(OR($D1045="",$F1045=""),"",IF(COUNTIFS($D$7:$D1045,$D1045,$F$7:$F1045,$F1045)=1,1,0))</f>
        <v/>
      </c>
    </row>
    <row r="1046" customFormat="false" ht="15" hidden="false" customHeight="true" outlineLevel="0" collapsed="false">
      <c r="A1046" s="56"/>
      <c r="B1046" s="56"/>
      <c r="C1046" s="56"/>
      <c r="D1046" s="56"/>
      <c r="E1046" s="16"/>
      <c r="F1046" s="16"/>
      <c r="G1046" s="67"/>
      <c r="H1046" s="67"/>
      <c r="I1046" s="67"/>
      <c r="J1046" s="67"/>
      <c r="K1046" s="56"/>
      <c r="L1046" s="56"/>
      <c r="M1046" s="66" t="str">
        <f aca="false">IF(OR($D1046="",$F1046=""),"",IF(COUNTIFS($D$7:$D1046,$D1046,$F$7:$F1046,$F1046)=1,1,0))</f>
        <v/>
      </c>
    </row>
    <row r="1047" customFormat="false" ht="15" hidden="false" customHeight="true" outlineLevel="0" collapsed="false">
      <c r="A1047" s="38"/>
      <c r="B1047" s="38"/>
      <c r="C1047" s="38"/>
      <c r="D1047" s="38"/>
      <c r="E1047" s="13"/>
      <c r="F1047" s="13"/>
      <c r="G1047" s="67"/>
      <c r="H1047" s="67"/>
      <c r="I1047" s="67"/>
      <c r="J1047" s="67"/>
      <c r="K1047" s="38"/>
      <c r="L1047" s="38"/>
      <c r="M1047" s="66" t="str">
        <f aca="false">IF(OR($D1047="",$F1047=""),"",IF(COUNTIFS($D$7:$D1047,$D1047,$F$7:$F1047,$F1047)=1,1,0))</f>
        <v/>
      </c>
    </row>
    <row r="1048" customFormat="false" ht="15" hidden="false" customHeight="true" outlineLevel="0" collapsed="false">
      <c r="A1048" s="56"/>
      <c r="B1048" s="56"/>
      <c r="C1048" s="56"/>
      <c r="D1048" s="56"/>
      <c r="E1048" s="16"/>
      <c r="F1048" s="16"/>
      <c r="G1048" s="67"/>
      <c r="H1048" s="67"/>
      <c r="I1048" s="67"/>
      <c r="J1048" s="67"/>
      <c r="K1048" s="56"/>
      <c r="L1048" s="56"/>
      <c r="M1048" s="66" t="str">
        <f aca="false">IF(OR($D1048="",$F1048=""),"",IF(COUNTIFS($D$7:$D1048,$D1048,$F$7:$F1048,$F1048)=1,1,0))</f>
        <v/>
      </c>
    </row>
    <row r="1049" customFormat="false" ht="15" hidden="false" customHeight="true" outlineLevel="0" collapsed="false">
      <c r="A1049" s="38"/>
      <c r="B1049" s="38"/>
      <c r="C1049" s="38"/>
      <c r="D1049" s="38"/>
      <c r="E1049" s="13"/>
      <c r="F1049" s="13"/>
      <c r="G1049" s="67"/>
      <c r="H1049" s="67"/>
      <c r="I1049" s="67"/>
      <c r="J1049" s="67"/>
      <c r="K1049" s="38"/>
      <c r="L1049" s="38"/>
      <c r="M1049" s="66" t="str">
        <f aca="false">IF(OR($D1049="",$F1049=""),"",IF(COUNTIFS($D$7:$D1049,$D1049,$F$7:$F1049,$F1049)=1,1,0))</f>
        <v/>
      </c>
    </row>
    <row r="1050" customFormat="false" ht="15" hidden="false" customHeight="true" outlineLevel="0" collapsed="false">
      <c r="A1050" s="56"/>
      <c r="B1050" s="56"/>
      <c r="C1050" s="56"/>
      <c r="D1050" s="56"/>
      <c r="E1050" s="16"/>
      <c r="F1050" s="16"/>
      <c r="G1050" s="67"/>
      <c r="H1050" s="67"/>
      <c r="I1050" s="67"/>
      <c r="J1050" s="67"/>
      <c r="K1050" s="56"/>
      <c r="L1050" s="56"/>
      <c r="M1050" s="66" t="str">
        <f aca="false">IF(OR($D1050="",$F1050=""),"",IF(COUNTIFS($D$7:$D1050,$D1050,$F$7:$F1050,$F1050)=1,1,0))</f>
        <v/>
      </c>
    </row>
    <row r="1051" customFormat="false" ht="15" hidden="false" customHeight="true" outlineLevel="0" collapsed="false">
      <c r="A1051" s="38"/>
      <c r="B1051" s="38"/>
      <c r="C1051" s="38"/>
      <c r="D1051" s="38"/>
      <c r="E1051" s="13"/>
      <c r="F1051" s="13"/>
      <c r="G1051" s="67"/>
      <c r="H1051" s="67"/>
      <c r="I1051" s="67"/>
      <c r="J1051" s="67"/>
      <c r="K1051" s="38"/>
      <c r="L1051" s="38"/>
      <c r="M1051" s="66" t="str">
        <f aca="false">IF(OR($D1051="",$F1051=""),"",IF(COUNTIFS($D$7:$D1051,$D1051,$F$7:$F1051,$F1051)=1,1,0))</f>
        <v/>
      </c>
    </row>
    <row r="1052" customFormat="false" ht="15" hidden="false" customHeight="true" outlineLevel="0" collapsed="false">
      <c r="A1052" s="56"/>
      <c r="B1052" s="56"/>
      <c r="C1052" s="56"/>
      <c r="D1052" s="56"/>
      <c r="E1052" s="16"/>
      <c r="F1052" s="16"/>
      <c r="G1052" s="67"/>
      <c r="H1052" s="67"/>
      <c r="I1052" s="67"/>
      <c r="J1052" s="67"/>
      <c r="K1052" s="56"/>
      <c r="L1052" s="56"/>
      <c r="M1052" s="66" t="str">
        <f aca="false">IF(OR($D1052="",$F1052=""),"",IF(COUNTIFS($D$7:$D1052,$D1052,$F$7:$F1052,$F1052)=1,1,0))</f>
        <v/>
      </c>
    </row>
    <row r="1053" customFormat="false" ht="15" hidden="false" customHeight="true" outlineLevel="0" collapsed="false">
      <c r="A1053" s="38"/>
      <c r="B1053" s="38"/>
      <c r="C1053" s="38"/>
      <c r="D1053" s="38"/>
      <c r="E1053" s="13"/>
      <c r="F1053" s="13"/>
      <c r="G1053" s="67"/>
      <c r="H1053" s="67"/>
      <c r="I1053" s="67"/>
      <c r="J1053" s="67"/>
      <c r="K1053" s="38"/>
      <c r="L1053" s="38"/>
      <c r="M1053" s="66" t="str">
        <f aca="false">IF(OR($D1053="",$F1053=""),"",IF(COUNTIFS($D$7:$D1053,$D1053,$F$7:$F1053,$F1053)=1,1,0))</f>
        <v/>
      </c>
    </row>
    <row r="1054" customFormat="false" ht="15" hidden="false" customHeight="true" outlineLevel="0" collapsed="false">
      <c r="A1054" s="56"/>
      <c r="B1054" s="56"/>
      <c r="C1054" s="56"/>
      <c r="D1054" s="56"/>
      <c r="E1054" s="16"/>
      <c r="F1054" s="16"/>
      <c r="G1054" s="67"/>
      <c r="H1054" s="67"/>
      <c r="I1054" s="67"/>
      <c r="J1054" s="67"/>
      <c r="K1054" s="56"/>
      <c r="L1054" s="56"/>
      <c r="M1054" s="66" t="str">
        <f aca="false">IF(OR($D1054="",$F1054=""),"",IF(COUNTIFS($D$7:$D1054,$D1054,$F$7:$F1054,$F1054)=1,1,0))</f>
        <v/>
      </c>
    </row>
    <row r="1055" customFormat="false" ht="15" hidden="false" customHeight="true" outlineLevel="0" collapsed="false">
      <c r="A1055" s="38"/>
      <c r="B1055" s="38"/>
      <c r="C1055" s="38"/>
      <c r="D1055" s="38"/>
      <c r="E1055" s="13"/>
      <c r="F1055" s="13"/>
      <c r="G1055" s="67"/>
      <c r="H1055" s="67"/>
      <c r="I1055" s="67"/>
      <c r="J1055" s="67"/>
      <c r="K1055" s="38"/>
      <c r="L1055" s="38"/>
      <c r="M1055" s="66" t="str">
        <f aca="false">IF(OR($D1055="",$F1055=""),"",IF(COUNTIFS($D$7:$D1055,$D1055,$F$7:$F1055,$F1055)=1,1,0))</f>
        <v/>
      </c>
    </row>
    <row r="1056" customFormat="false" ht="15" hidden="false" customHeight="true" outlineLevel="0" collapsed="false">
      <c r="A1056" s="56"/>
      <c r="B1056" s="56"/>
      <c r="C1056" s="56"/>
      <c r="D1056" s="56"/>
      <c r="E1056" s="16"/>
      <c r="F1056" s="16"/>
      <c r="G1056" s="67"/>
      <c r="H1056" s="67"/>
      <c r="I1056" s="67"/>
      <c r="J1056" s="67"/>
      <c r="K1056" s="56"/>
      <c r="L1056" s="56"/>
      <c r="M1056" s="66" t="str">
        <f aca="false">IF(OR($D1056="",$F1056=""),"",IF(COUNTIFS($D$7:$D1056,$D1056,$F$7:$F1056,$F1056)=1,1,0))</f>
        <v/>
      </c>
    </row>
    <row r="1057" customFormat="false" ht="15" hidden="false" customHeight="true" outlineLevel="0" collapsed="false">
      <c r="A1057" s="38"/>
      <c r="B1057" s="38"/>
      <c r="C1057" s="38"/>
      <c r="D1057" s="38"/>
      <c r="E1057" s="13"/>
      <c r="F1057" s="13"/>
      <c r="G1057" s="67"/>
      <c r="H1057" s="67"/>
      <c r="I1057" s="67"/>
      <c r="J1057" s="67"/>
      <c r="K1057" s="38"/>
      <c r="L1057" s="38"/>
      <c r="M1057" s="66" t="str">
        <f aca="false">IF(OR($D1057="",$F1057=""),"",IF(COUNTIFS($D$7:$D1057,$D1057,$F$7:$F1057,$F1057)=1,1,0))</f>
        <v/>
      </c>
    </row>
    <row r="1058" customFormat="false" ht="15" hidden="false" customHeight="true" outlineLevel="0" collapsed="false">
      <c r="A1058" s="56"/>
      <c r="B1058" s="56"/>
      <c r="C1058" s="56"/>
      <c r="D1058" s="56"/>
      <c r="E1058" s="16"/>
      <c r="F1058" s="16"/>
      <c r="G1058" s="67"/>
      <c r="H1058" s="67"/>
      <c r="I1058" s="67"/>
      <c r="J1058" s="67"/>
      <c r="K1058" s="56"/>
      <c r="L1058" s="56"/>
      <c r="M1058" s="66" t="str">
        <f aca="false">IF(OR($D1058="",$F1058=""),"",IF(COUNTIFS($D$7:$D1058,$D1058,$F$7:$F1058,$F1058)=1,1,0))</f>
        <v/>
      </c>
    </row>
    <row r="1059" customFormat="false" ht="15" hidden="false" customHeight="true" outlineLevel="0" collapsed="false">
      <c r="A1059" s="38"/>
      <c r="B1059" s="38"/>
      <c r="C1059" s="38"/>
      <c r="D1059" s="38"/>
      <c r="E1059" s="13"/>
      <c r="F1059" s="13"/>
      <c r="G1059" s="67"/>
      <c r="H1059" s="67"/>
      <c r="I1059" s="67"/>
      <c r="J1059" s="67"/>
      <c r="K1059" s="38"/>
      <c r="L1059" s="38"/>
      <c r="M1059" s="66" t="str">
        <f aca="false">IF(OR($D1059="",$F1059=""),"",IF(COUNTIFS($D$7:$D1059,$D1059,$F$7:$F1059,$F1059)=1,1,0))</f>
        <v/>
      </c>
    </row>
    <row r="1060" customFormat="false" ht="15" hidden="false" customHeight="true" outlineLevel="0" collapsed="false">
      <c r="A1060" s="56"/>
      <c r="B1060" s="56"/>
      <c r="C1060" s="56"/>
      <c r="D1060" s="56"/>
      <c r="E1060" s="16"/>
      <c r="F1060" s="16"/>
      <c r="G1060" s="67"/>
      <c r="H1060" s="67"/>
      <c r="I1060" s="67"/>
      <c r="J1060" s="67"/>
      <c r="K1060" s="56"/>
      <c r="L1060" s="56"/>
      <c r="M1060" s="66" t="str">
        <f aca="false">IF(OR($D1060="",$F1060=""),"",IF(COUNTIFS($D$7:$D1060,$D1060,$F$7:$F1060,$F1060)=1,1,0))</f>
        <v/>
      </c>
    </row>
    <row r="1061" customFormat="false" ht="15" hidden="false" customHeight="true" outlineLevel="0" collapsed="false">
      <c r="A1061" s="38"/>
      <c r="B1061" s="38"/>
      <c r="C1061" s="38"/>
      <c r="D1061" s="38"/>
      <c r="E1061" s="13"/>
      <c r="F1061" s="13"/>
      <c r="G1061" s="67"/>
      <c r="H1061" s="67"/>
      <c r="I1061" s="67"/>
      <c r="J1061" s="67"/>
      <c r="K1061" s="38"/>
      <c r="L1061" s="38"/>
      <c r="M1061" s="66" t="str">
        <f aca="false">IF(OR($D1061="",$F1061=""),"",IF(COUNTIFS($D$7:$D1061,$D1061,$F$7:$F1061,$F1061)=1,1,0))</f>
        <v/>
      </c>
    </row>
    <row r="1062" customFormat="false" ht="15" hidden="false" customHeight="true" outlineLevel="0" collapsed="false">
      <c r="A1062" s="56"/>
      <c r="B1062" s="56"/>
      <c r="C1062" s="56"/>
      <c r="D1062" s="56"/>
      <c r="E1062" s="16"/>
      <c r="F1062" s="16"/>
      <c r="G1062" s="67"/>
      <c r="H1062" s="67"/>
      <c r="I1062" s="67"/>
      <c r="J1062" s="67"/>
      <c r="K1062" s="56"/>
      <c r="L1062" s="56"/>
      <c r="M1062" s="66" t="str">
        <f aca="false">IF(OR($D1062="",$F1062=""),"",IF(COUNTIFS($D$7:$D1062,$D1062,$F$7:$F1062,$F1062)=1,1,0))</f>
        <v/>
      </c>
    </row>
    <row r="1063" customFormat="false" ht="15" hidden="false" customHeight="true" outlineLevel="0" collapsed="false">
      <c r="A1063" s="38"/>
      <c r="B1063" s="38"/>
      <c r="C1063" s="38"/>
      <c r="D1063" s="38"/>
      <c r="E1063" s="13"/>
      <c r="F1063" s="13"/>
      <c r="G1063" s="67"/>
      <c r="H1063" s="67"/>
      <c r="I1063" s="67"/>
      <c r="J1063" s="67"/>
      <c r="K1063" s="38"/>
      <c r="L1063" s="38"/>
      <c r="M1063" s="66" t="str">
        <f aca="false">IF(OR($D1063="",$F1063=""),"",IF(COUNTIFS($D$7:$D1063,$D1063,$F$7:$F1063,$F1063)=1,1,0))</f>
        <v/>
      </c>
    </row>
    <row r="1064" customFormat="false" ht="15" hidden="false" customHeight="true" outlineLevel="0" collapsed="false">
      <c r="A1064" s="56"/>
      <c r="B1064" s="56"/>
      <c r="C1064" s="56"/>
      <c r="D1064" s="56"/>
      <c r="E1064" s="16"/>
      <c r="F1064" s="16"/>
      <c r="G1064" s="67"/>
      <c r="H1064" s="67"/>
      <c r="I1064" s="67"/>
      <c r="J1064" s="67"/>
      <c r="K1064" s="56"/>
      <c r="L1064" s="56"/>
      <c r="M1064" s="66" t="str">
        <f aca="false">IF(OR($D1064="",$F1064=""),"",IF(COUNTIFS($D$7:$D1064,$D1064,$F$7:$F1064,$F1064)=1,1,0))</f>
        <v/>
      </c>
    </row>
    <row r="1065" customFormat="false" ht="15" hidden="false" customHeight="true" outlineLevel="0" collapsed="false">
      <c r="A1065" s="38"/>
      <c r="B1065" s="38"/>
      <c r="C1065" s="38"/>
      <c r="D1065" s="38"/>
      <c r="E1065" s="13"/>
      <c r="F1065" s="13"/>
      <c r="G1065" s="67"/>
      <c r="H1065" s="67"/>
      <c r="I1065" s="67"/>
      <c r="J1065" s="67"/>
      <c r="K1065" s="38"/>
      <c r="L1065" s="38"/>
      <c r="M1065" s="66" t="str">
        <f aca="false">IF(OR($D1065="",$F1065=""),"",IF(COUNTIFS($D$7:$D1065,$D1065,$F$7:$F1065,$F1065)=1,1,0))</f>
        <v/>
      </c>
    </row>
    <row r="1066" customFormat="false" ht="15" hidden="false" customHeight="true" outlineLevel="0" collapsed="false">
      <c r="A1066" s="56"/>
      <c r="B1066" s="56"/>
      <c r="C1066" s="56"/>
      <c r="D1066" s="56"/>
      <c r="E1066" s="16"/>
      <c r="F1066" s="16"/>
      <c r="G1066" s="67"/>
      <c r="H1066" s="67"/>
      <c r="I1066" s="67"/>
      <c r="J1066" s="67"/>
      <c r="K1066" s="56"/>
      <c r="L1066" s="56"/>
      <c r="M1066" s="66" t="str">
        <f aca="false">IF(OR($D1066="",$F1066=""),"",IF(COUNTIFS($D$7:$D1066,$D1066,$F$7:$F1066,$F1066)=1,1,0))</f>
        <v/>
      </c>
    </row>
    <row r="1067" customFormat="false" ht="15" hidden="false" customHeight="true" outlineLevel="0" collapsed="false">
      <c r="A1067" s="38"/>
      <c r="B1067" s="38"/>
      <c r="C1067" s="38"/>
      <c r="D1067" s="38"/>
      <c r="E1067" s="13"/>
      <c r="F1067" s="13"/>
      <c r="G1067" s="67"/>
      <c r="H1067" s="67"/>
      <c r="I1067" s="67"/>
      <c r="J1067" s="67"/>
      <c r="K1067" s="38"/>
      <c r="L1067" s="38"/>
      <c r="M1067" s="66" t="str">
        <f aca="false">IF(OR($D1067="",$F1067=""),"",IF(COUNTIFS($D$7:$D1067,$D1067,$F$7:$F1067,$F1067)=1,1,0))</f>
        <v/>
      </c>
    </row>
    <row r="1068" customFormat="false" ht="15" hidden="false" customHeight="true" outlineLevel="0" collapsed="false">
      <c r="A1068" s="56"/>
      <c r="B1068" s="56"/>
      <c r="C1068" s="56"/>
      <c r="D1068" s="56"/>
      <c r="E1068" s="16"/>
      <c r="F1068" s="16"/>
      <c r="G1068" s="67"/>
      <c r="H1068" s="67"/>
      <c r="I1068" s="67"/>
      <c r="J1068" s="67"/>
      <c r="K1068" s="56"/>
      <c r="L1068" s="56"/>
      <c r="M1068" s="66" t="str">
        <f aca="false">IF(OR($D1068="",$F1068=""),"",IF(COUNTIFS($D$7:$D1068,$D1068,$F$7:$F1068,$F1068)=1,1,0))</f>
        <v/>
      </c>
    </row>
    <row r="1069" customFormat="false" ht="15" hidden="false" customHeight="true" outlineLevel="0" collapsed="false">
      <c r="A1069" s="38"/>
      <c r="B1069" s="38"/>
      <c r="C1069" s="38"/>
      <c r="D1069" s="38"/>
      <c r="E1069" s="13"/>
      <c r="F1069" s="13"/>
      <c r="G1069" s="67"/>
      <c r="H1069" s="67"/>
      <c r="I1069" s="67"/>
      <c r="J1069" s="67"/>
      <c r="K1069" s="38"/>
      <c r="L1069" s="38"/>
      <c r="M1069" s="66" t="str">
        <f aca="false">IF(OR($D1069="",$F1069=""),"",IF(COUNTIFS($D$7:$D1069,$D1069,$F$7:$F1069,$F1069)=1,1,0))</f>
        <v/>
      </c>
    </row>
    <row r="1070" customFormat="false" ht="15" hidden="false" customHeight="true" outlineLevel="0" collapsed="false">
      <c r="A1070" s="56"/>
      <c r="B1070" s="56"/>
      <c r="C1070" s="56"/>
      <c r="D1070" s="56"/>
      <c r="E1070" s="16"/>
      <c r="F1070" s="16"/>
      <c r="G1070" s="67"/>
      <c r="H1070" s="67"/>
      <c r="I1070" s="67"/>
      <c r="J1070" s="67"/>
      <c r="K1070" s="56"/>
      <c r="L1070" s="56"/>
      <c r="M1070" s="66" t="str">
        <f aca="false">IF(OR($D1070="",$F1070=""),"",IF(COUNTIFS($D$7:$D1070,$D1070,$F$7:$F1070,$F1070)=1,1,0))</f>
        <v/>
      </c>
    </row>
    <row r="1071" customFormat="false" ht="15" hidden="false" customHeight="true" outlineLevel="0" collapsed="false">
      <c r="A1071" s="38"/>
      <c r="B1071" s="38"/>
      <c r="C1071" s="38"/>
      <c r="D1071" s="38"/>
      <c r="E1071" s="13"/>
      <c r="F1071" s="13"/>
      <c r="G1071" s="67"/>
      <c r="H1071" s="67"/>
      <c r="I1071" s="67"/>
      <c r="J1071" s="67"/>
      <c r="K1071" s="38"/>
      <c r="L1071" s="38"/>
      <c r="M1071" s="66" t="str">
        <f aca="false">IF(OR($D1071="",$F1071=""),"",IF(COUNTIFS($D$7:$D1071,$D1071,$F$7:$F1071,$F1071)=1,1,0))</f>
        <v/>
      </c>
    </row>
    <row r="1072" customFormat="false" ht="15" hidden="false" customHeight="true" outlineLevel="0" collapsed="false">
      <c r="A1072" s="56"/>
      <c r="B1072" s="56"/>
      <c r="C1072" s="56"/>
      <c r="D1072" s="56"/>
      <c r="E1072" s="16"/>
      <c r="F1072" s="16"/>
      <c r="G1072" s="67"/>
      <c r="H1072" s="67"/>
      <c r="I1072" s="67"/>
      <c r="J1072" s="67"/>
      <c r="K1072" s="56"/>
      <c r="L1072" s="56"/>
      <c r="M1072" s="66" t="str">
        <f aca="false">IF(OR($D1072="",$F1072=""),"",IF(COUNTIFS($D$7:$D1072,$D1072,$F$7:$F1072,$F1072)=1,1,0))</f>
        <v/>
      </c>
    </row>
    <row r="1073" customFormat="false" ht="15" hidden="false" customHeight="true" outlineLevel="0" collapsed="false">
      <c r="A1073" s="38"/>
      <c r="B1073" s="38"/>
      <c r="C1073" s="38"/>
      <c r="D1073" s="38"/>
      <c r="E1073" s="13"/>
      <c r="F1073" s="13"/>
      <c r="G1073" s="67"/>
      <c r="H1073" s="67"/>
      <c r="I1073" s="67"/>
      <c r="J1073" s="67"/>
      <c r="K1073" s="38"/>
      <c r="L1073" s="38"/>
      <c r="M1073" s="66" t="str">
        <f aca="false">IF(OR($D1073="",$F1073=""),"",IF(COUNTIFS($D$7:$D1073,$D1073,$F$7:$F1073,$F1073)=1,1,0))</f>
        <v/>
      </c>
    </row>
    <row r="1074" customFormat="false" ht="15" hidden="false" customHeight="true" outlineLevel="0" collapsed="false">
      <c r="A1074" s="56"/>
      <c r="B1074" s="56"/>
      <c r="C1074" s="56"/>
      <c r="D1074" s="56"/>
      <c r="E1074" s="16"/>
      <c r="F1074" s="16"/>
      <c r="G1074" s="67"/>
      <c r="H1074" s="67"/>
      <c r="I1074" s="67"/>
      <c r="J1074" s="67"/>
      <c r="K1074" s="56"/>
      <c r="L1074" s="56"/>
      <c r="M1074" s="66" t="str">
        <f aca="false">IF(OR($D1074="",$F1074=""),"",IF(COUNTIFS($D$7:$D1074,$D1074,$F$7:$F1074,$F1074)=1,1,0))</f>
        <v/>
      </c>
    </row>
    <row r="1075" customFormat="false" ht="15" hidden="false" customHeight="true" outlineLevel="0" collapsed="false">
      <c r="A1075" s="38"/>
      <c r="B1075" s="38"/>
      <c r="C1075" s="38"/>
      <c r="D1075" s="38"/>
      <c r="E1075" s="13"/>
      <c r="F1075" s="13"/>
      <c r="G1075" s="67"/>
      <c r="H1075" s="67"/>
      <c r="I1075" s="67"/>
      <c r="J1075" s="67"/>
      <c r="K1075" s="38"/>
      <c r="L1075" s="38"/>
      <c r="M1075" s="66" t="str">
        <f aca="false">IF(OR($D1075="",$F1075=""),"",IF(COUNTIFS($D$7:$D1075,$D1075,$F$7:$F1075,$F1075)=1,1,0))</f>
        <v/>
      </c>
    </row>
    <row r="1076" customFormat="false" ht="15" hidden="false" customHeight="true" outlineLevel="0" collapsed="false">
      <c r="A1076" s="56"/>
      <c r="B1076" s="56"/>
      <c r="C1076" s="56"/>
      <c r="D1076" s="56"/>
      <c r="E1076" s="16"/>
      <c r="F1076" s="16"/>
      <c r="G1076" s="67"/>
      <c r="H1076" s="67"/>
      <c r="I1076" s="67"/>
      <c r="J1076" s="67"/>
      <c r="K1076" s="56"/>
      <c r="L1076" s="56"/>
      <c r="M1076" s="66" t="str">
        <f aca="false">IF(OR($D1076="",$F1076=""),"",IF(COUNTIFS($D$7:$D1076,$D1076,$F$7:$F1076,$F1076)=1,1,0))</f>
        <v/>
      </c>
    </row>
    <row r="1077" customFormat="false" ht="15" hidden="false" customHeight="true" outlineLevel="0" collapsed="false">
      <c r="A1077" s="38"/>
      <c r="B1077" s="38"/>
      <c r="C1077" s="38"/>
      <c r="D1077" s="38"/>
      <c r="E1077" s="13"/>
      <c r="F1077" s="13"/>
      <c r="G1077" s="67"/>
      <c r="H1077" s="67"/>
      <c r="I1077" s="67"/>
      <c r="J1077" s="67"/>
      <c r="K1077" s="38"/>
      <c r="L1077" s="38"/>
      <c r="M1077" s="66" t="str">
        <f aca="false">IF(OR($D1077="",$F1077=""),"",IF(COUNTIFS($D$7:$D1077,$D1077,$F$7:$F1077,$F1077)=1,1,0))</f>
        <v/>
      </c>
    </row>
    <row r="1078" customFormat="false" ht="15" hidden="false" customHeight="true" outlineLevel="0" collapsed="false">
      <c r="A1078" s="56"/>
      <c r="B1078" s="56"/>
      <c r="C1078" s="56"/>
      <c r="D1078" s="56"/>
      <c r="E1078" s="16"/>
      <c r="F1078" s="16"/>
      <c r="G1078" s="67"/>
      <c r="H1078" s="67"/>
      <c r="I1078" s="67"/>
      <c r="J1078" s="67"/>
      <c r="K1078" s="56"/>
      <c r="L1078" s="56"/>
      <c r="M1078" s="66" t="str">
        <f aca="false">IF(OR($D1078="",$F1078=""),"",IF(COUNTIFS($D$7:$D1078,$D1078,$F$7:$F1078,$F1078)=1,1,0))</f>
        <v/>
      </c>
    </row>
    <row r="1079" customFormat="false" ht="15" hidden="false" customHeight="true" outlineLevel="0" collapsed="false">
      <c r="A1079" s="38"/>
      <c r="B1079" s="38"/>
      <c r="C1079" s="38"/>
      <c r="D1079" s="38"/>
      <c r="E1079" s="13"/>
      <c r="F1079" s="13"/>
      <c r="G1079" s="67"/>
      <c r="H1079" s="67"/>
      <c r="I1079" s="67"/>
      <c r="J1079" s="67"/>
      <c r="K1079" s="38"/>
      <c r="L1079" s="38"/>
      <c r="M1079" s="66" t="str">
        <f aca="false">IF(OR($D1079="",$F1079=""),"",IF(COUNTIFS($D$7:$D1079,$D1079,$F$7:$F1079,$F1079)=1,1,0))</f>
        <v/>
      </c>
    </row>
    <row r="1080" customFormat="false" ht="15" hidden="false" customHeight="true" outlineLevel="0" collapsed="false">
      <c r="A1080" s="56"/>
      <c r="B1080" s="56"/>
      <c r="C1080" s="56"/>
      <c r="D1080" s="56"/>
      <c r="E1080" s="16"/>
      <c r="F1080" s="16"/>
      <c r="G1080" s="67"/>
      <c r="H1080" s="67"/>
      <c r="I1080" s="67"/>
      <c r="J1080" s="67"/>
      <c r="K1080" s="56"/>
      <c r="L1080" s="56"/>
      <c r="M1080" s="66" t="str">
        <f aca="false">IF(OR($D1080="",$F1080=""),"",IF(COUNTIFS($D$7:$D1080,$D1080,$F$7:$F1080,$F1080)=1,1,0))</f>
        <v/>
      </c>
    </row>
    <row r="1081" customFormat="false" ht="15" hidden="false" customHeight="true" outlineLevel="0" collapsed="false">
      <c r="A1081" s="38"/>
      <c r="B1081" s="38"/>
      <c r="C1081" s="38"/>
      <c r="D1081" s="38"/>
      <c r="E1081" s="13"/>
      <c r="F1081" s="13"/>
      <c r="G1081" s="67"/>
      <c r="H1081" s="67"/>
      <c r="I1081" s="67"/>
      <c r="J1081" s="67"/>
      <c r="K1081" s="38"/>
      <c r="L1081" s="38"/>
      <c r="M1081" s="66" t="str">
        <f aca="false">IF(OR($D1081="",$F1081=""),"",IF(COUNTIFS($D$7:$D1081,$D1081,$F$7:$F1081,$F1081)=1,1,0))</f>
        <v/>
      </c>
    </row>
    <row r="1082" customFormat="false" ht="15" hidden="false" customHeight="true" outlineLevel="0" collapsed="false">
      <c r="A1082" s="56"/>
      <c r="B1082" s="56"/>
      <c r="C1082" s="56"/>
      <c r="D1082" s="56"/>
      <c r="E1082" s="16"/>
      <c r="F1082" s="16"/>
      <c r="G1082" s="67"/>
      <c r="H1082" s="67"/>
      <c r="I1082" s="67"/>
      <c r="J1082" s="67"/>
      <c r="K1082" s="56"/>
      <c r="L1082" s="56"/>
      <c r="M1082" s="66" t="str">
        <f aca="false">IF(OR($D1082="",$F1082=""),"",IF(COUNTIFS($D$7:$D1082,$D1082,$F$7:$F1082,$F1082)=1,1,0))</f>
        <v/>
      </c>
    </row>
    <row r="1083" customFormat="false" ht="15" hidden="false" customHeight="true" outlineLevel="0" collapsed="false">
      <c r="A1083" s="38"/>
      <c r="B1083" s="38"/>
      <c r="C1083" s="38"/>
      <c r="D1083" s="38"/>
      <c r="E1083" s="13"/>
      <c r="F1083" s="13"/>
      <c r="G1083" s="67"/>
      <c r="H1083" s="67"/>
      <c r="I1083" s="67"/>
      <c r="J1083" s="67"/>
      <c r="K1083" s="38"/>
      <c r="L1083" s="38"/>
      <c r="M1083" s="66" t="str">
        <f aca="false">IF(OR($D1083="",$F1083=""),"",IF(COUNTIFS($D$7:$D1083,$D1083,$F$7:$F1083,$F1083)=1,1,0))</f>
        <v/>
      </c>
    </row>
    <row r="1084" customFormat="false" ht="15" hidden="false" customHeight="true" outlineLevel="0" collapsed="false">
      <c r="A1084" s="56"/>
      <c r="B1084" s="56"/>
      <c r="C1084" s="56"/>
      <c r="D1084" s="56"/>
      <c r="E1084" s="16"/>
      <c r="F1084" s="16"/>
      <c r="G1084" s="67"/>
      <c r="H1084" s="67"/>
      <c r="I1084" s="67"/>
      <c r="J1084" s="67"/>
      <c r="K1084" s="56"/>
      <c r="L1084" s="56"/>
      <c r="M1084" s="66" t="str">
        <f aca="false">IF(OR($D1084="",$F1084=""),"",IF(COUNTIFS($D$7:$D1084,$D1084,$F$7:$F1084,$F1084)=1,1,0))</f>
        <v/>
      </c>
    </row>
    <row r="1085" customFormat="false" ht="15" hidden="false" customHeight="true" outlineLevel="0" collapsed="false">
      <c r="A1085" s="38"/>
      <c r="B1085" s="38"/>
      <c r="C1085" s="38"/>
      <c r="D1085" s="38"/>
      <c r="E1085" s="13"/>
      <c r="F1085" s="13"/>
      <c r="G1085" s="67"/>
      <c r="H1085" s="67"/>
      <c r="I1085" s="67"/>
      <c r="J1085" s="67"/>
      <c r="K1085" s="38"/>
      <c r="L1085" s="38"/>
      <c r="M1085" s="66" t="str">
        <f aca="false">IF(OR($D1085="",$F1085=""),"",IF(COUNTIFS($D$7:$D1085,$D1085,$F$7:$F1085,$F1085)=1,1,0))</f>
        <v/>
      </c>
    </row>
    <row r="1086" customFormat="false" ht="15" hidden="false" customHeight="true" outlineLevel="0" collapsed="false">
      <c r="A1086" s="56"/>
      <c r="B1086" s="56"/>
      <c r="C1086" s="56"/>
      <c r="D1086" s="56"/>
      <c r="E1086" s="16"/>
      <c r="F1086" s="16"/>
      <c r="G1086" s="67"/>
      <c r="H1086" s="67"/>
      <c r="I1086" s="67"/>
      <c r="J1086" s="67"/>
      <c r="K1086" s="56"/>
      <c r="L1086" s="56"/>
      <c r="M1086" s="66" t="str">
        <f aca="false">IF(OR($D1086="",$F1086=""),"",IF(COUNTIFS($D$7:$D1086,$D1086,$F$7:$F1086,$F1086)=1,1,0))</f>
        <v/>
      </c>
    </row>
    <row r="1087" customFormat="false" ht="15" hidden="false" customHeight="true" outlineLevel="0" collapsed="false">
      <c r="A1087" s="38"/>
      <c r="B1087" s="38"/>
      <c r="C1087" s="38"/>
      <c r="D1087" s="38"/>
      <c r="E1087" s="13"/>
      <c r="F1087" s="13"/>
      <c r="G1087" s="67"/>
      <c r="H1087" s="67"/>
      <c r="I1087" s="67"/>
      <c r="J1087" s="67"/>
      <c r="K1087" s="38"/>
      <c r="L1087" s="38"/>
      <c r="M1087" s="66" t="str">
        <f aca="false">IF(OR($D1087="",$F1087=""),"",IF(COUNTIFS($D$7:$D1087,$D1087,$F$7:$F1087,$F1087)=1,1,0))</f>
        <v/>
      </c>
    </row>
    <row r="1088" customFormat="false" ht="15" hidden="false" customHeight="true" outlineLevel="0" collapsed="false">
      <c r="A1088" s="56"/>
      <c r="B1088" s="56"/>
      <c r="C1088" s="56"/>
      <c r="D1088" s="56"/>
      <c r="E1088" s="16"/>
      <c r="F1088" s="16"/>
      <c r="G1088" s="67"/>
      <c r="H1088" s="67"/>
      <c r="I1088" s="67"/>
      <c r="J1088" s="67"/>
      <c r="K1088" s="56"/>
      <c r="L1088" s="56"/>
      <c r="M1088" s="66" t="str">
        <f aca="false">IF(OR($D1088="",$F1088=""),"",IF(COUNTIFS($D$7:$D1088,$D1088,$F$7:$F1088,$F1088)=1,1,0))</f>
        <v/>
      </c>
    </row>
    <row r="1089" customFormat="false" ht="15" hidden="false" customHeight="true" outlineLevel="0" collapsed="false">
      <c r="A1089" s="38"/>
      <c r="B1089" s="38"/>
      <c r="C1089" s="38"/>
      <c r="D1089" s="38"/>
      <c r="E1089" s="13"/>
      <c r="F1089" s="13"/>
      <c r="G1089" s="67"/>
      <c r="H1089" s="67"/>
      <c r="I1089" s="67"/>
      <c r="J1089" s="67"/>
      <c r="K1089" s="38"/>
      <c r="L1089" s="38"/>
      <c r="M1089" s="66" t="str">
        <f aca="false">IF(OR($D1089="",$F1089=""),"",IF(COUNTIFS($D$7:$D1089,$D1089,$F$7:$F1089,$F1089)=1,1,0))</f>
        <v/>
      </c>
    </row>
    <row r="1090" customFormat="false" ht="15" hidden="false" customHeight="true" outlineLevel="0" collapsed="false">
      <c r="A1090" s="56"/>
      <c r="B1090" s="56"/>
      <c r="C1090" s="56"/>
      <c r="D1090" s="56"/>
      <c r="E1090" s="16"/>
      <c r="F1090" s="16"/>
      <c r="G1090" s="67"/>
      <c r="H1090" s="67"/>
      <c r="I1090" s="67"/>
      <c r="J1090" s="67"/>
      <c r="K1090" s="56"/>
      <c r="L1090" s="56"/>
      <c r="M1090" s="66" t="str">
        <f aca="false">IF(OR($D1090="",$F1090=""),"",IF(COUNTIFS($D$7:$D1090,$D1090,$F$7:$F1090,$F1090)=1,1,0))</f>
        <v/>
      </c>
    </row>
    <row r="1091" customFormat="false" ht="15" hidden="false" customHeight="true" outlineLevel="0" collapsed="false">
      <c r="A1091" s="38"/>
      <c r="B1091" s="38"/>
      <c r="C1091" s="38"/>
      <c r="D1091" s="38"/>
      <c r="E1091" s="13"/>
      <c r="F1091" s="13"/>
      <c r="G1091" s="67"/>
      <c r="H1091" s="67"/>
      <c r="I1091" s="67"/>
      <c r="J1091" s="67"/>
      <c r="K1091" s="38"/>
      <c r="L1091" s="38"/>
      <c r="M1091" s="66" t="str">
        <f aca="false">IF(OR($D1091="",$F1091=""),"",IF(COUNTIFS($D$7:$D1091,$D1091,$F$7:$F1091,$F1091)=1,1,0))</f>
        <v/>
      </c>
    </row>
    <row r="1092" customFormat="false" ht="15" hidden="false" customHeight="true" outlineLevel="0" collapsed="false">
      <c r="A1092" s="56"/>
      <c r="B1092" s="56"/>
      <c r="C1092" s="56"/>
      <c r="D1092" s="56"/>
      <c r="E1092" s="16"/>
      <c r="F1092" s="16"/>
      <c r="G1092" s="67"/>
      <c r="H1092" s="67"/>
      <c r="I1092" s="67"/>
      <c r="J1092" s="67"/>
      <c r="K1092" s="56"/>
      <c r="L1092" s="56"/>
      <c r="M1092" s="66" t="str">
        <f aca="false">IF(OR($D1092="",$F1092=""),"",IF(COUNTIFS($D$7:$D1092,$D1092,$F$7:$F1092,$F1092)=1,1,0))</f>
        <v/>
      </c>
    </row>
    <row r="1093" customFormat="false" ht="15" hidden="false" customHeight="true" outlineLevel="0" collapsed="false">
      <c r="A1093" s="38"/>
      <c r="B1093" s="38"/>
      <c r="C1093" s="38"/>
      <c r="D1093" s="38"/>
      <c r="E1093" s="13"/>
      <c r="F1093" s="13"/>
      <c r="G1093" s="67"/>
      <c r="H1093" s="67"/>
      <c r="I1093" s="67"/>
      <c r="J1093" s="67"/>
      <c r="K1093" s="38"/>
      <c r="L1093" s="38"/>
      <c r="M1093" s="66" t="str">
        <f aca="false">IF(OR($D1093="",$F1093=""),"",IF(COUNTIFS($D$7:$D1093,$D1093,$F$7:$F1093,$F1093)=1,1,0))</f>
        <v/>
      </c>
    </row>
    <row r="1094" customFormat="false" ht="15" hidden="false" customHeight="true" outlineLevel="0" collapsed="false">
      <c r="A1094" s="56"/>
      <c r="B1094" s="56"/>
      <c r="C1094" s="56"/>
      <c r="D1094" s="56"/>
      <c r="E1094" s="16"/>
      <c r="F1094" s="16"/>
      <c r="G1094" s="67"/>
      <c r="H1094" s="67"/>
      <c r="I1094" s="67"/>
      <c r="J1094" s="67"/>
      <c r="K1094" s="56"/>
      <c r="L1094" s="56"/>
      <c r="M1094" s="66" t="str">
        <f aca="false">IF(OR($D1094="",$F1094=""),"",IF(COUNTIFS($D$7:$D1094,$D1094,$F$7:$F1094,$F1094)=1,1,0))</f>
        <v/>
      </c>
    </row>
    <row r="1095" customFormat="false" ht="15" hidden="false" customHeight="true" outlineLevel="0" collapsed="false">
      <c r="A1095" s="38"/>
      <c r="B1095" s="38"/>
      <c r="C1095" s="38"/>
      <c r="D1095" s="38"/>
      <c r="E1095" s="13"/>
      <c r="F1095" s="13"/>
      <c r="G1095" s="67"/>
      <c r="H1095" s="67"/>
      <c r="I1095" s="67"/>
      <c r="J1095" s="67"/>
      <c r="K1095" s="38"/>
      <c r="L1095" s="38"/>
      <c r="M1095" s="66" t="str">
        <f aca="false">IF(OR($D1095="",$F1095=""),"",IF(COUNTIFS($D$7:$D1095,$D1095,$F$7:$F1095,$F1095)=1,1,0))</f>
        <v/>
      </c>
    </row>
    <row r="1096" customFormat="false" ht="15" hidden="false" customHeight="true" outlineLevel="0" collapsed="false">
      <c r="A1096" s="56"/>
      <c r="B1096" s="56"/>
      <c r="C1096" s="56"/>
      <c r="D1096" s="56"/>
      <c r="E1096" s="16"/>
      <c r="F1096" s="16"/>
      <c r="G1096" s="67"/>
      <c r="H1096" s="67"/>
      <c r="I1096" s="67"/>
      <c r="J1096" s="67"/>
      <c r="K1096" s="56"/>
      <c r="L1096" s="56"/>
      <c r="M1096" s="66" t="str">
        <f aca="false">IF(OR($D1096="",$F1096=""),"",IF(COUNTIFS($D$7:$D1096,$D1096,$F$7:$F1096,$F1096)=1,1,0))</f>
        <v/>
      </c>
    </row>
    <row r="1097" customFormat="false" ht="15" hidden="false" customHeight="true" outlineLevel="0" collapsed="false">
      <c r="A1097" s="38"/>
      <c r="B1097" s="38"/>
      <c r="C1097" s="38"/>
      <c r="D1097" s="38"/>
      <c r="E1097" s="13"/>
      <c r="F1097" s="13"/>
      <c r="G1097" s="67"/>
      <c r="H1097" s="67"/>
      <c r="I1097" s="67"/>
      <c r="J1097" s="67"/>
      <c r="K1097" s="38"/>
      <c r="L1097" s="38"/>
      <c r="M1097" s="66" t="str">
        <f aca="false">IF(OR($D1097="",$F1097=""),"",IF(COUNTIFS($D$7:$D1097,$D1097,$F$7:$F1097,$F1097)=1,1,0))</f>
        <v/>
      </c>
    </row>
    <row r="1098" customFormat="false" ht="15" hidden="false" customHeight="true" outlineLevel="0" collapsed="false">
      <c r="A1098" s="56"/>
      <c r="B1098" s="56"/>
      <c r="C1098" s="56"/>
      <c r="D1098" s="56"/>
      <c r="E1098" s="16"/>
      <c r="F1098" s="16"/>
      <c r="G1098" s="67"/>
      <c r="H1098" s="67"/>
      <c r="I1098" s="67"/>
      <c r="J1098" s="67"/>
      <c r="K1098" s="56"/>
      <c r="L1098" s="56"/>
      <c r="M1098" s="66" t="str">
        <f aca="false">IF(OR($D1098="",$F1098=""),"",IF(COUNTIFS($D$7:$D1098,$D1098,$F$7:$F1098,$F1098)=1,1,0))</f>
        <v/>
      </c>
    </row>
    <row r="1099" customFormat="false" ht="15" hidden="false" customHeight="true" outlineLevel="0" collapsed="false">
      <c r="A1099" s="38"/>
      <c r="B1099" s="38"/>
      <c r="C1099" s="38"/>
      <c r="D1099" s="38"/>
      <c r="E1099" s="13"/>
      <c r="F1099" s="13"/>
      <c r="G1099" s="67"/>
      <c r="H1099" s="67"/>
      <c r="I1099" s="67"/>
      <c r="J1099" s="67"/>
      <c r="K1099" s="38"/>
      <c r="L1099" s="38"/>
      <c r="M1099" s="66" t="str">
        <f aca="false">IF(OR($D1099="",$F1099=""),"",IF(COUNTIFS($D$7:$D1099,$D1099,$F$7:$F1099,$F1099)=1,1,0))</f>
        <v/>
      </c>
    </row>
    <row r="1100" customFormat="false" ht="15" hidden="false" customHeight="true" outlineLevel="0" collapsed="false">
      <c r="A1100" s="56"/>
      <c r="B1100" s="56"/>
      <c r="C1100" s="56"/>
      <c r="D1100" s="56"/>
      <c r="E1100" s="16"/>
      <c r="F1100" s="16"/>
      <c r="G1100" s="67"/>
      <c r="H1100" s="67"/>
      <c r="I1100" s="67"/>
      <c r="J1100" s="67"/>
      <c r="K1100" s="56"/>
      <c r="L1100" s="56"/>
      <c r="M1100" s="66" t="str">
        <f aca="false">IF(OR($D1100="",$F1100=""),"",IF(COUNTIFS($D$7:$D1100,$D1100,$F$7:$F1100,$F1100)=1,1,0))</f>
        <v/>
      </c>
    </row>
    <row r="1101" customFormat="false" ht="15" hidden="false" customHeight="true" outlineLevel="0" collapsed="false">
      <c r="A1101" s="38"/>
      <c r="B1101" s="38"/>
      <c r="C1101" s="38"/>
      <c r="D1101" s="38"/>
      <c r="E1101" s="13"/>
      <c r="F1101" s="13"/>
      <c r="G1101" s="67"/>
      <c r="H1101" s="67"/>
      <c r="I1101" s="67"/>
      <c r="J1101" s="67"/>
      <c r="K1101" s="38"/>
      <c r="L1101" s="38"/>
      <c r="M1101" s="66" t="str">
        <f aca="false">IF(OR($D1101="",$F1101=""),"",IF(COUNTIFS($D$7:$D1101,$D1101,$F$7:$F1101,$F1101)=1,1,0))</f>
        <v/>
      </c>
    </row>
    <row r="1102" customFormat="false" ht="15" hidden="false" customHeight="true" outlineLevel="0" collapsed="false">
      <c r="A1102" s="56"/>
      <c r="B1102" s="56"/>
      <c r="C1102" s="56"/>
      <c r="D1102" s="56"/>
      <c r="E1102" s="16"/>
      <c r="F1102" s="16"/>
      <c r="G1102" s="67"/>
      <c r="H1102" s="67"/>
      <c r="I1102" s="67"/>
      <c r="J1102" s="67"/>
      <c r="K1102" s="56"/>
      <c r="L1102" s="56"/>
      <c r="M1102" s="66" t="str">
        <f aca="false">IF(OR($D1102="",$F1102=""),"",IF(COUNTIFS($D$7:$D1102,$D1102,$F$7:$F1102,$F1102)=1,1,0))</f>
        <v/>
      </c>
    </row>
    <row r="1103" customFormat="false" ht="15" hidden="false" customHeight="true" outlineLevel="0" collapsed="false">
      <c r="A1103" s="38"/>
      <c r="B1103" s="38"/>
      <c r="C1103" s="38"/>
      <c r="D1103" s="38"/>
      <c r="E1103" s="13"/>
      <c r="F1103" s="13"/>
      <c r="G1103" s="67"/>
      <c r="H1103" s="67"/>
      <c r="I1103" s="67"/>
      <c r="J1103" s="67"/>
      <c r="K1103" s="38"/>
      <c r="L1103" s="38"/>
      <c r="M1103" s="66" t="str">
        <f aca="false">IF(OR($D1103="",$F1103=""),"",IF(COUNTIFS($D$7:$D1103,$D1103,$F$7:$F1103,$F1103)=1,1,0))</f>
        <v/>
      </c>
    </row>
    <row r="1104" customFormat="false" ht="15" hidden="false" customHeight="true" outlineLevel="0" collapsed="false">
      <c r="A1104" s="56"/>
      <c r="B1104" s="56"/>
      <c r="C1104" s="56"/>
      <c r="D1104" s="56"/>
      <c r="E1104" s="16"/>
      <c r="F1104" s="16"/>
      <c r="G1104" s="67"/>
      <c r="H1104" s="67"/>
      <c r="I1104" s="67"/>
      <c r="J1104" s="67"/>
      <c r="K1104" s="56"/>
      <c r="L1104" s="56"/>
      <c r="M1104" s="66" t="str">
        <f aca="false">IF(OR($D1104="",$F1104=""),"",IF(COUNTIFS($D$7:$D1104,$D1104,$F$7:$F1104,$F1104)=1,1,0))</f>
        <v/>
      </c>
    </row>
    <row r="1105" customFormat="false" ht="15" hidden="false" customHeight="true" outlineLevel="0" collapsed="false">
      <c r="A1105" s="38"/>
      <c r="B1105" s="38"/>
      <c r="C1105" s="38"/>
      <c r="D1105" s="38"/>
      <c r="E1105" s="13"/>
      <c r="F1105" s="13"/>
      <c r="G1105" s="67"/>
      <c r="H1105" s="67"/>
      <c r="I1105" s="67"/>
      <c r="J1105" s="67"/>
      <c r="K1105" s="38"/>
      <c r="L1105" s="38"/>
      <c r="M1105" s="66" t="str">
        <f aca="false">IF(OR($D1105="",$F1105=""),"",IF(COUNTIFS($D$7:$D1105,$D1105,$F$7:$F1105,$F1105)=1,1,0))</f>
        <v/>
      </c>
    </row>
    <row r="1106" customFormat="false" ht="15" hidden="false" customHeight="true" outlineLevel="0" collapsed="false">
      <c r="A1106" s="56"/>
      <c r="B1106" s="56"/>
      <c r="C1106" s="56"/>
      <c r="D1106" s="56"/>
      <c r="E1106" s="16"/>
      <c r="F1106" s="16"/>
      <c r="G1106" s="67"/>
      <c r="H1106" s="67"/>
      <c r="I1106" s="67"/>
      <c r="J1106" s="67"/>
      <c r="K1106" s="56"/>
      <c r="L1106" s="56"/>
      <c r="M1106" s="66" t="str">
        <f aca="false">IF(OR($D1106="",$F1106=""),"",IF(COUNTIFS($D$7:$D1106,$D1106,$F$7:$F1106,$F1106)=1,1,0))</f>
        <v/>
      </c>
    </row>
    <row r="1107" customFormat="false" ht="15" hidden="false" customHeight="true" outlineLevel="0" collapsed="false">
      <c r="A1107" s="38"/>
      <c r="B1107" s="38"/>
      <c r="C1107" s="38"/>
      <c r="D1107" s="38"/>
      <c r="E1107" s="13"/>
      <c r="F1107" s="13"/>
      <c r="G1107" s="67"/>
      <c r="H1107" s="67"/>
      <c r="I1107" s="67"/>
      <c r="J1107" s="67"/>
      <c r="K1107" s="38"/>
      <c r="L1107" s="38"/>
      <c r="M1107" s="66" t="str">
        <f aca="false">IF(OR($D1107="",$F1107=""),"",IF(COUNTIFS($D$7:$D1107,$D1107,$F$7:$F1107,$F1107)=1,1,0))</f>
        <v/>
      </c>
    </row>
    <row r="1108" customFormat="false" ht="15" hidden="false" customHeight="true" outlineLevel="0" collapsed="false">
      <c r="A1108" s="56"/>
      <c r="B1108" s="56"/>
      <c r="C1108" s="56"/>
      <c r="D1108" s="56"/>
      <c r="E1108" s="16"/>
      <c r="F1108" s="16"/>
      <c r="G1108" s="67"/>
      <c r="H1108" s="67"/>
      <c r="I1108" s="67"/>
      <c r="J1108" s="67"/>
      <c r="K1108" s="56"/>
      <c r="L1108" s="56"/>
      <c r="M1108" s="66" t="str">
        <f aca="false">IF(OR($D1108="",$F1108=""),"",IF(COUNTIFS($D$7:$D1108,$D1108,$F$7:$F1108,$F1108)=1,1,0))</f>
        <v/>
      </c>
    </row>
    <row r="1109" customFormat="false" ht="15" hidden="false" customHeight="true" outlineLevel="0" collapsed="false">
      <c r="A1109" s="38"/>
      <c r="B1109" s="38"/>
      <c r="C1109" s="38"/>
      <c r="D1109" s="38"/>
      <c r="E1109" s="13"/>
      <c r="F1109" s="13"/>
      <c r="G1109" s="67"/>
      <c r="H1109" s="67"/>
      <c r="I1109" s="67"/>
      <c r="J1109" s="67"/>
      <c r="K1109" s="38"/>
      <c r="L1109" s="38"/>
      <c r="M1109" s="66" t="str">
        <f aca="false">IF(OR($D1109="",$F1109=""),"",IF(COUNTIFS($D$7:$D1109,$D1109,$F$7:$F1109,$F1109)=1,1,0))</f>
        <v/>
      </c>
    </row>
    <row r="1110" customFormat="false" ht="15" hidden="false" customHeight="true" outlineLevel="0" collapsed="false">
      <c r="A1110" s="56"/>
      <c r="B1110" s="56"/>
      <c r="C1110" s="56"/>
      <c r="D1110" s="56"/>
      <c r="E1110" s="16"/>
      <c r="F1110" s="16"/>
      <c r="G1110" s="67"/>
      <c r="H1110" s="67"/>
      <c r="I1110" s="67"/>
      <c r="J1110" s="67"/>
      <c r="K1110" s="56"/>
      <c r="L1110" s="56"/>
      <c r="M1110" s="66" t="str">
        <f aca="false">IF(OR($D1110="",$F1110=""),"",IF(COUNTIFS($D$7:$D1110,$D1110,$F$7:$F1110,$F1110)=1,1,0))</f>
        <v/>
      </c>
    </row>
    <row r="1111" customFormat="false" ht="15" hidden="false" customHeight="true" outlineLevel="0" collapsed="false">
      <c r="A1111" s="38"/>
      <c r="B1111" s="38"/>
      <c r="C1111" s="38"/>
      <c r="D1111" s="38"/>
      <c r="E1111" s="13"/>
      <c r="F1111" s="13"/>
      <c r="G1111" s="67"/>
      <c r="H1111" s="67"/>
      <c r="I1111" s="67"/>
      <c r="J1111" s="67"/>
      <c r="K1111" s="38"/>
      <c r="L1111" s="38"/>
      <c r="M1111" s="66" t="str">
        <f aca="false">IF(OR($D1111="",$F1111=""),"",IF(COUNTIFS($D$7:$D1111,$D1111,$F$7:$F1111,$F1111)=1,1,0))</f>
        <v/>
      </c>
    </row>
    <row r="1112" customFormat="false" ht="15" hidden="false" customHeight="true" outlineLevel="0" collapsed="false">
      <c r="A1112" s="56"/>
      <c r="B1112" s="56"/>
      <c r="C1112" s="56"/>
      <c r="D1112" s="56"/>
      <c r="E1112" s="16"/>
      <c r="F1112" s="16"/>
      <c r="G1112" s="67"/>
      <c r="H1112" s="67"/>
      <c r="I1112" s="67"/>
      <c r="J1112" s="67"/>
      <c r="K1112" s="56"/>
      <c r="L1112" s="56"/>
      <c r="M1112" s="66" t="str">
        <f aca="false">IF(OR($D1112="",$F1112=""),"",IF(COUNTIFS($D$7:$D1112,$D1112,$F$7:$F1112,$F1112)=1,1,0))</f>
        <v/>
      </c>
    </row>
    <row r="1113" customFormat="false" ht="15" hidden="false" customHeight="true" outlineLevel="0" collapsed="false">
      <c r="A1113" s="38"/>
      <c r="B1113" s="38"/>
      <c r="C1113" s="38"/>
      <c r="D1113" s="38"/>
      <c r="E1113" s="13"/>
      <c r="F1113" s="13"/>
      <c r="G1113" s="67"/>
      <c r="H1113" s="67"/>
      <c r="I1113" s="67"/>
      <c r="J1113" s="67"/>
      <c r="K1113" s="38"/>
      <c r="L1113" s="38"/>
      <c r="M1113" s="66" t="str">
        <f aca="false">IF(OR($D1113="",$F1113=""),"",IF(COUNTIFS($D$7:$D1113,$D1113,$F$7:$F1113,$F1113)=1,1,0))</f>
        <v/>
      </c>
    </row>
    <row r="1114" customFormat="false" ht="15" hidden="false" customHeight="true" outlineLevel="0" collapsed="false">
      <c r="A1114" s="56"/>
      <c r="B1114" s="56"/>
      <c r="C1114" s="56"/>
      <c r="D1114" s="56"/>
      <c r="E1114" s="16"/>
      <c r="F1114" s="16"/>
      <c r="G1114" s="67"/>
      <c r="H1114" s="67"/>
      <c r="I1114" s="67"/>
      <c r="J1114" s="67"/>
      <c r="K1114" s="56"/>
      <c r="L1114" s="56"/>
      <c r="M1114" s="66" t="str">
        <f aca="false">IF(OR($D1114="",$F1114=""),"",IF(COUNTIFS($D$7:$D1114,$D1114,$F$7:$F1114,$F1114)=1,1,0))</f>
        <v/>
      </c>
    </row>
    <row r="1115" customFormat="false" ht="15" hidden="false" customHeight="true" outlineLevel="0" collapsed="false">
      <c r="A1115" s="38"/>
      <c r="B1115" s="38"/>
      <c r="C1115" s="38"/>
      <c r="D1115" s="38"/>
      <c r="E1115" s="13"/>
      <c r="F1115" s="13"/>
      <c r="G1115" s="67"/>
      <c r="H1115" s="67"/>
      <c r="I1115" s="67"/>
      <c r="J1115" s="67"/>
      <c r="K1115" s="38"/>
      <c r="L1115" s="38"/>
      <c r="M1115" s="66" t="str">
        <f aca="false">IF(OR($D1115="",$F1115=""),"",IF(COUNTIFS($D$7:$D1115,$D1115,$F$7:$F1115,$F1115)=1,1,0))</f>
        <v/>
      </c>
    </row>
    <row r="1116" customFormat="false" ht="15" hidden="false" customHeight="true" outlineLevel="0" collapsed="false">
      <c r="A1116" s="56"/>
      <c r="B1116" s="56"/>
      <c r="C1116" s="56"/>
      <c r="D1116" s="56"/>
      <c r="E1116" s="16"/>
      <c r="F1116" s="16"/>
      <c r="G1116" s="67"/>
      <c r="H1116" s="67"/>
      <c r="I1116" s="67"/>
      <c r="J1116" s="67"/>
      <c r="K1116" s="56"/>
      <c r="L1116" s="56"/>
      <c r="M1116" s="66" t="str">
        <f aca="false">IF(OR($D1116="",$F1116=""),"",IF(COUNTIFS($D$7:$D1116,$D1116,$F$7:$F1116,$F1116)=1,1,0))</f>
        <v/>
      </c>
    </row>
    <row r="1117" customFormat="false" ht="15" hidden="false" customHeight="true" outlineLevel="0" collapsed="false">
      <c r="A1117" s="38"/>
      <c r="B1117" s="38"/>
      <c r="C1117" s="38"/>
      <c r="D1117" s="38"/>
      <c r="E1117" s="13"/>
      <c r="F1117" s="13"/>
      <c r="G1117" s="67"/>
      <c r="H1117" s="67"/>
      <c r="I1117" s="67"/>
      <c r="J1117" s="67"/>
      <c r="K1117" s="38"/>
      <c r="L1117" s="38"/>
      <c r="M1117" s="66" t="str">
        <f aca="false">IF(OR($D1117="",$F1117=""),"",IF(COUNTIFS($D$7:$D1117,$D1117,$F$7:$F1117,$F1117)=1,1,0))</f>
        <v/>
      </c>
    </row>
    <row r="1118" customFormat="false" ht="15" hidden="false" customHeight="true" outlineLevel="0" collapsed="false">
      <c r="A1118" s="56"/>
      <c r="B1118" s="56"/>
      <c r="C1118" s="56"/>
      <c r="D1118" s="56"/>
      <c r="E1118" s="16"/>
      <c r="F1118" s="16"/>
      <c r="G1118" s="67"/>
      <c r="H1118" s="67"/>
      <c r="I1118" s="67"/>
      <c r="J1118" s="67"/>
      <c r="K1118" s="56"/>
      <c r="L1118" s="56"/>
      <c r="M1118" s="66" t="str">
        <f aca="false">IF(OR($D1118="",$F1118=""),"",IF(COUNTIFS($D$7:$D1118,$D1118,$F$7:$F1118,$F1118)=1,1,0))</f>
        <v/>
      </c>
    </row>
    <row r="1119" customFormat="false" ht="15" hidden="false" customHeight="true" outlineLevel="0" collapsed="false">
      <c r="A1119" s="38"/>
      <c r="B1119" s="38"/>
      <c r="C1119" s="38"/>
      <c r="D1119" s="38"/>
      <c r="E1119" s="13"/>
      <c r="F1119" s="13"/>
      <c r="G1119" s="67"/>
      <c r="H1119" s="67"/>
      <c r="I1119" s="67"/>
      <c r="J1119" s="67"/>
      <c r="K1119" s="38"/>
      <c r="L1119" s="38"/>
      <c r="M1119" s="66" t="str">
        <f aca="false">IF(OR($D1119="",$F1119=""),"",IF(COUNTIFS($D$7:$D1119,$D1119,$F$7:$F1119,$F1119)=1,1,0))</f>
        <v/>
      </c>
    </row>
    <row r="1120" customFormat="false" ht="15" hidden="false" customHeight="true" outlineLevel="0" collapsed="false">
      <c r="A1120" s="56"/>
      <c r="B1120" s="56"/>
      <c r="C1120" s="56"/>
      <c r="D1120" s="56"/>
      <c r="E1120" s="16"/>
      <c r="F1120" s="16"/>
      <c r="G1120" s="67"/>
      <c r="H1120" s="67"/>
      <c r="I1120" s="67"/>
      <c r="J1120" s="67"/>
      <c r="K1120" s="56"/>
      <c r="L1120" s="56"/>
      <c r="M1120" s="66" t="str">
        <f aca="false">IF(OR($D1120="",$F1120=""),"",IF(COUNTIFS($D$7:$D1120,$D1120,$F$7:$F1120,$F1120)=1,1,0))</f>
        <v/>
      </c>
    </row>
    <row r="1121" customFormat="false" ht="15" hidden="false" customHeight="true" outlineLevel="0" collapsed="false">
      <c r="A1121" s="38"/>
      <c r="B1121" s="38"/>
      <c r="C1121" s="38"/>
      <c r="D1121" s="38"/>
      <c r="E1121" s="13"/>
      <c r="F1121" s="13"/>
      <c r="G1121" s="67"/>
      <c r="H1121" s="67"/>
      <c r="I1121" s="67"/>
      <c r="J1121" s="67"/>
      <c r="K1121" s="38"/>
      <c r="L1121" s="38"/>
      <c r="M1121" s="66" t="str">
        <f aca="false">IF(OR($D1121="",$F1121=""),"",IF(COUNTIFS($D$7:$D1121,$D1121,$F$7:$F1121,$F1121)=1,1,0))</f>
        <v/>
      </c>
    </row>
    <row r="1122" customFormat="false" ht="15" hidden="false" customHeight="true" outlineLevel="0" collapsed="false">
      <c r="A1122" s="56"/>
      <c r="B1122" s="56"/>
      <c r="C1122" s="56"/>
      <c r="D1122" s="56"/>
      <c r="E1122" s="16"/>
      <c r="F1122" s="16"/>
      <c r="G1122" s="67"/>
      <c r="H1122" s="67"/>
      <c r="I1122" s="67"/>
      <c r="J1122" s="67"/>
      <c r="K1122" s="56"/>
      <c r="L1122" s="56"/>
      <c r="M1122" s="66" t="str">
        <f aca="false">IF(OR($D1122="",$F1122=""),"",IF(COUNTIFS($D$7:$D1122,$D1122,$F$7:$F1122,$F1122)=1,1,0))</f>
        <v/>
      </c>
    </row>
    <row r="1123" customFormat="false" ht="15" hidden="false" customHeight="true" outlineLevel="0" collapsed="false">
      <c r="A1123" s="38"/>
      <c r="B1123" s="38"/>
      <c r="C1123" s="38"/>
      <c r="D1123" s="38"/>
      <c r="E1123" s="13"/>
      <c r="F1123" s="13"/>
      <c r="G1123" s="67"/>
      <c r="H1123" s="67"/>
      <c r="I1123" s="67"/>
      <c r="J1123" s="67"/>
      <c r="K1123" s="38"/>
      <c r="L1123" s="38"/>
      <c r="M1123" s="66" t="str">
        <f aca="false">IF(OR($D1123="",$F1123=""),"",IF(COUNTIFS($D$7:$D1123,$D1123,$F$7:$F1123,$F1123)=1,1,0))</f>
        <v/>
      </c>
    </row>
    <row r="1124" customFormat="false" ht="15" hidden="false" customHeight="true" outlineLevel="0" collapsed="false">
      <c r="A1124" s="56"/>
      <c r="B1124" s="56"/>
      <c r="C1124" s="56"/>
      <c r="D1124" s="56"/>
      <c r="E1124" s="16"/>
      <c r="F1124" s="16"/>
      <c r="G1124" s="67"/>
      <c r="H1124" s="67"/>
      <c r="I1124" s="67"/>
      <c r="J1124" s="67"/>
      <c r="K1124" s="56"/>
      <c r="L1124" s="56"/>
      <c r="M1124" s="66" t="str">
        <f aca="false">IF(OR($D1124="",$F1124=""),"",IF(COUNTIFS($D$7:$D1124,$D1124,$F$7:$F1124,$F1124)=1,1,0))</f>
        <v/>
      </c>
    </row>
    <row r="1125" customFormat="false" ht="15" hidden="false" customHeight="true" outlineLevel="0" collapsed="false">
      <c r="A1125" s="38"/>
      <c r="B1125" s="38"/>
      <c r="C1125" s="38"/>
      <c r="D1125" s="38"/>
      <c r="E1125" s="13"/>
      <c r="F1125" s="13"/>
      <c r="G1125" s="67"/>
      <c r="H1125" s="67"/>
      <c r="I1125" s="67"/>
      <c r="J1125" s="67"/>
      <c r="K1125" s="38"/>
      <c r="L1125" s="38"/>
      <c r="M1125" s="66" t="str">
        <f aca="false">IF(OR($D1125="",$F1125=""),"",IF(COUNTIFS($D$7:$D1125,$D1125,$F$7:$F1125,$F1125)=1,1,0))</f>
        <v/>
      </c>
    </row>
    <row r="1126" customFormat="false" ht="15" hidden="false" customHeight="true" outlineLevel="0" collapsed="false">
      <c r="A1126" s="56"/>
      <c r="B1126" s="56"/>
      <c r="C1126" s="56"/>
      <c r="D1126" s="56"/>
      <c r="E1126" s="16"/>
      <c r="F1126" s="16"/>
      <c r="G1126" s="67"/>
      <c r="H1126" s="67"/>
      <c r="I1126" s="67"/>
      <c r="J1126" s="67"/>
      <c r="K1126" s="56"/>
      <c r="L1126" s="56"/>
      <c r="M1126" s="66" t="str">
        <f aca="false">IF(OR($D1126="",$F1126=""),"",IF(COUNTIFS($D$7:$D1126,$D1126,$F$7:$F1126,$F1126)=1,1,0))</f>
        <v/>
      </c>
    </row>
    <row r="1127" customFormat="false" ht="15" hidden="false" customHeight="true" outlineLevel="0" collapsed="false">
      <c r="A1127" s="38"/>
      <c r="B1127" s="38"/>
      <c r="C1127" s="38"/>
      <c r="D1127" s="38"/>
      <c r="E1127" s="13"/>
      <c r="F1127" s="13"/>
      <c r="G1127" s="67"/>
      <c r="H1127" s="67"/>
      <c r="I1127" s="67"/>
      <c r="J1127" s="67"/>
      <c r="K1127" s="38"/>
      <c r="L1127" s="38"/>
      <c r="M1127" s="66" t="str">
        <f aca="false">IF(OR($D1127="",$F1127=""),"",IF(COUNTIFS($D$7:$D1127,$D1127,$F$7:$F1127,$F1127)=1,1,0))</f>
        <v/>
      </c>
    </row>
    <row r="1128" customFormat="false" ht="15" hidden="false" customHeight="true" outlineLevel="0" collapsed="false">
      <c r="A1128" s="56"/>
      <c r="B1128" s="56"/>
      <c r="C1128" s="56"/>
      <c r="D1128" s="56"/>
      <c r="E1128" s="16"/>
      <c r="F1128" s="16"/>
      <c r="G1128" s="67"/>
      <c r="H1128" s="67"/>
      <c r="I1128" s="67"/>
      <c r="J1128" s="67"/>
      <c r="K1128" s="56"/>
      <c r="L1128" s="56"/>
      <c r="M1128" s="66" t="str">
        <f aca="false">IF(OR($D1128="",$F1128=""),"",IF(COUNTIFS($D$7:$D1128,$D1128,$F$7:$F1128,$F1128)=1,1,0))</f>
        <v/>
      </c>
    </row>
    <row r="1129" customFormat="false" ht="15" hidden="false" customHeight="true" outlineLevel="0" collapsed="false">
      <c r="A1129" s="38"/>
      <c r="B1129" s="38"/>
      <c r="C1129" s="38"/>
      <c r="D1129" s="38"/>
      <c r="E1129" s="13"/>
      <c r="F1129" s="13"/>
      <c r="G1129" s="67"/>
      <c r="H1129" s="67"/>
      <c r="I1129" s="67"/>
      <c r="J1129" s="67"/>
      <c r="K1129" s="38"/>
      <c r="L1129" s="38"/>
      <c r="M1129" s="66" t="str">
        <f aca="false">IF(OR($D1129="",$F1129=""),"",IF(COUNTIFS($D$7:$D1129,$D1129,$F$7:$F1129,$F1129)=1,1,0))</f>
        <v/>
      </c>
    </row>
    <row r="1130" customFormat="false" ht="15" hidden="false" customHeight="true" outlineLevel="0" collapsed="false">
      <c r="A1130" s="56"/>
      <c r="B1130" s="56"/>
      <c r="C1130" s="56"/>
      <c r="D1130" s="56"/>
      <c r="E1130" s="16"/>
      <c r="F1130" s="16"/>
      <c r="G1130" s="67"/>
      <c r="H1130" s="67"/>
      <c r="I1130" s="67"/>
      <c r="J1130" s="67"/>
      <c r="K1130" s="56"/>
      <c r="L1130" s="56"/>
      <c r="M1130" s="66" t="str">
        <f aca="false">IF(OR($D1130="",$F1130=""),"",IF(COUNTIFS($D$7:$D1130,$D1130,$F$7:$F1130,$F1130)=1,1,0))</f>
        <v/>
      </c>
    </row>
    <row r="1131" customFormat="false" ht="15" hidden="false" customHeight="true" outlineLevel="0" collapsed="false">
      <c r="A1131" s="38"/>
      <c r="B1131" s="38"/>
      <c r="C1131" s="38"/>
      <c r="D1131" s="38"/>
      <c r="E1131" s="13"/>
      <c r="F1131" s="13"/>
      <c r="G1131" s="67"/>
      <c r="H1131" s="67"/>
      <c r="I1131" s="67"/>
      <c r="J1131" s="67"/>
      <c r="K1131" s="38"/>
      <c r="L1131" s="38"/>
      <c r="M1131" s="66" t="str">
        <f aca="false">IF(OR($D1131="",$F1131=""),"",IF(COUNTIFS($D$7:$D1131,$D1131,$F$7:$F1131,$F1131)=1,1,0))</f>
        <v/>
      </c>
    </row>
    <row r="1132" customFormat="false" ht="15" hidden="false" customHeight="true" outlineLevel="0" collapsed="false">
      <c r="A1132" s="56"/>
      <c r="B1132" s="56"/>
      <c r="C1132" s="56"/>
      <c r="D1132" s="56"/>
      <c r="E1132" s="16"/>
      <c r="F1132" s="16"/>
      <c r="G1132" s="67"/>
      <c r="H1132" s="67"/>
      <c r="I1132" s="67"/>
      <c r="J1132" s="67"/>
      <c r="K1132" s="56"/>
      <c r="L1132" s="56"/>
      <c r="M1132" s="66" t="str">
        <f aca="false">IF(OR($D1132="",$F1132=""),"",IF(COUNTIFS($D$7:$D1132,$D1132,$F$7:$F1132,$F1132)=1,1,0))</f>
        <v/>
      </c>
    </row>
    <row r="1133" customFormat="false" ht="15" hidden="false" customHeight="true" outlineLevel="0" collapsed="false">
      <c r="A1133" s="38"/>
      <c r="B1133" s="38"/>
      <c r="C1133" s="38"/>
      <c r="D1133" s="38"/>
      <c r="E1133" s="13"/>
      <c r="F1133" s="13"/>
      <c r="G1133" s="67"/>
      <c r="H1133" s="67"/>
      <c r="I1133" s="67"/>
      <c r="J1133" s="67"/>
      <c r="K1133" s="38"/>
      <c r="L1133" s="38"/>
      <c r="M1133" s="66" t="str">
        <f aca="false">IF(OR($D1133="",$F1133=""),"",IF(COUNTIFS($D$7:$D1133,$D1133,$F$7:$F1133,$F1133)=1,1,0))</f>
        <v/>
      </c>
    </row>
    <row r="1134" customFormat="false" ht="15" hidden="false" customHeight="true" outlineLevel="0" collapsed="false">
      <c r="A1134" s="56"/>
      <c r="B1134" s="56"/>
      <c r="C1134" s="56"/>
      <c r="D1134" s="56"/>
      <c r="E1134" s="16"/>
      <c r="F1134" s="16"/>
      <c r="G1134" s="67"/>
      <c r="H1134" s="67"/>
      <c r="I1134" s="67"/>
      <c r="J1134" s="67"/>
      <c r="K1134" s="56"/>
      <c r="L1134" s="56"/>
      <c r="M1134" s="66" t="str">
        <f aca="false">IF(OR($D1134="",$F1134=""),"",IF(COUNTIFS($D$7:$D1134,$D1134,$F$7:$F1134,$F1134)=1,1,0))</f>
        <v/>
      </c>
    </row>
    <row r="1135" customFormat="false" ht="15" hidden="false" customHeight="true" outlineLevel="0" collapsed="false">
      <c r="A1135" s="38"/>
      <c r="B1135" s="38"/>
      <c r="C1135" s="38"/>
      <c r="D1135" s="38"/>
      <c r="E1135" s="13"/>
      <c r="F1135" s="13"/>
      <c r="G1135" s="67"/>
      <c r="H1135" s="67"/>
      <c r="I1135" s="67"/>
      <c r="J1135" s="67"/>
      <c r="K1135" s="38"/>
      <c r="L1135" s="38"/>
      <c r="M1135" s="66" t="str">
        <f aca="false">IF(OR($D1135="",$F1135=""),"",IF(COUNTIFS($D$7:$D1135,$D1135,$F$7:$F1135,$F1135)=1,1,0))</f>
        <v/>
      </c>
    </row>
    <row r="1136" customFormat="false" ht="15" hidden="false" customHeight="true" outlineLevel="0" collapsed="false">
      <c r="A1136" s="56"/>
      <c r="B1136" s="56"/>
      <c r="C1136" s="56"/>
      <c r="D1136" s="56"/>
      <c r="E1136" s="16"/>
      <c r="F1136" s="16"/>
      <c r="G1136" s="67"/>
      <c r="H1136" s="67"/>
      <c r="I1136" s="67"/>
      <c r="J1136" s="67"/>
      <c r="K1136" s="56"/>
      <c r="L1136" s="56"/>
      <c r="M1136" s="66" t="str">
        <f aca="false">IF(OR($D1136="",$F1136=""),"",IF(COUNTIFS($D$7:$D1136,$D1136,$F$7:$F1136,$F1136)=1,1,0))</f>
        <v/>
      </c>
    </row>
    <row r="1137" customFormat="false" ht="15" hidden="false" customHeight="true" outlineLevel="0" collapsed="false">
      <c r="A1137" s="38"/>
      <c r="B1137" s="38"/>
      <c r="C1137" s="38"/>
      <c r="D1137" s="38"/>
      <c r="E1137" s="13"/>
      <c r="F1137" s="13"/>
      <c r="G1137" s="67"/>
      <c r="H1137" s="67"/>
      <c r="I1137" s="67"/>
      <c r="J1137" s="67"/>
      <c r="K1137" s="38"/>
      <c r="L1137" s="38"/>
      <c r="M1137" s="66" t="str">
        <f aca="false">IF(OR($D1137="",$F1137=""),"",IF(COUNTIFS($D$7:$D1137,$D1137,$F$7:$F1137,$F1137)=1,1,0))</f>
        <v/>
      </c>
    </row>
    <row r="1138" customFormat="false" ht="15" hidden="false" customHeight="true" outlineLevel="0" collapsed="false">
      <c r="A1138" s="56"/>
      <c r="B1138" s="56"/>
      <c r="C1138" s="56"/>
      <c r="D1138" s="56"/>
      <c r="E1138" s="16"/>
      <c r="F1138" s="16"/>
      <c r="G1138" s="67"/>
      <c r="H1138" s="67"/>
      <c r="I1138" s="67"/>
      <c r="J1138" s="67"/>
      <c r="K1138" s="56"/>
      <c r="L1138" s="56"/>
      <c r="M1138" s="66" t="str">
        <f aca="false">IF(OR($D1138="",$F1138=""),"",IF(COUNTIFS($D$7:$D1138,$D1138,$F$7:$F1138,$F1138)=1,1,0))</f>
        <v/>
      </c>
    </row>
    <row r="1139" customFormat="false" ht="15" hidden="false" customHeight="true" outlineLevel="0" collapsed="false">
      <c r="A1139" s="38"/>
      <c r="B1139" s="38"/>
      <c r="C1139" s="38"/>
      <c r="D1139" s="38"/>
      <c r="E1139" s="13"/>
      <c r="F1139" s="13"/>
      <c r="G1139" s="67"/>
      <c r="H1139" s="67"/>
      <c r="I1139" s="67"/>
      <c r="J1139" s="67"/>
      <c r="K1139" s="38"/>
      <c r="L1139" s="38"/>
      <c r="M1139" s="66" t="str">
        <f aca="false">IF(OR($D1139="",$F1139=""),"",IF(COUNTIFS($D$7:$D1139,$D1139,$F$7:$F1139,$F1139)=1,1,0))</f>
        <v/>
      </c>
    </row>
    <row r="1140" customFormat="false" ht="15" hidden="false" customHeight="true" outlineLevel="0" collapsed="false">
      <c r="A1140" s="56"/>
      <c r="B1140" s="56"/>
      <c r="C1140" s="56"/>
      <c r="D1140" s="56"/>
      <c r="E1140" s="16"/>
      <c r="F1140" s="16"/>
      <c r="G1140" s="67"/>
      <c r="H1140" s="67"/>
      <c r="I1140" s="67"/>
      <c r="J1140" s="67"/>
      <c r="K1140" s="56"/>
      <c r="L1140" s="56"/>
      <c r="M1140" s="66" t="str">
        <f aca="false">IF(OR($D1140="",$F1140=""),"",IF(COUNTIFS($D$7:$D1140,$D1140,$F$7:$F1140,$F1140)=1,1,0))</f>
        <v/>
      </c>
    </row>
    <row r="1141" customFormat="false" ht="15" hidden="false" customHeight="true" outlineLevel="0" collapsed="false">
      <c r="A1141" s="38"/>
      <c r="B1141" s="38"/>
      <c r="C1141" s="38"/>
      <c r="D1141" s="38"/>
      <c r="E1141" s="13"/>
      <c r="F1141" s="13"/>
      <c r="G1141" s="67"/>
      <c r="H1141" s="67"/>
      <c r="I1141" s="67"/>
      <c r="J1141" s="67"/>
      <c r="K1141" s="38"/>
      <c r="L1141" s="38"/>
      <c r="M1141" s="66" t="str">
        <f aca="false">IF(OR($D1141="",$F1141=""),"",IF(COUNTIFS($D$7:$D1141,$D1141,$F$7:$F1141,$F1141)=1,1,0))</f>
        <v/>
      </c>
    </row>
    <row r="1142" customFormat="false" ht="15" hidden="false" customHeight="true" outlineLevel="0" collapsed="false">
      <c r="A1142" s="56"/>
      <c r="B1142" s="56"/>
      <c r="C1142" s="56"/>
      <c r="D1142" s="56"/>
      <c r="E1142" s="16"/>
      <c r="F1142" s="16"/>
      <c r="G1142" s="67"/>
      <c r="H1142" s="67"/>
      <c r="I1142" s="67"/>
      <c r="J1142" s="67"/>
      <c r="K1142" s="56"/>
      <c r="L1142" s="56"/>
      <c r="M1142" s="66" t="str">
        <f aca="false">IF(OR($D1142="",$F1142=""),"",IF(COUNTIFS($D$7:$D1142,$D1142,$F$7:$F1142,$F1142)=1,1,0))</f>
        <v/>
      </c>
    </row>
    <row r="1143" customFormat="false" ht="15" hidden="false" customHeight="true" outlineLevel="0" collapsed="false">
      <c r="A1143" s="38"/>
      <c r="B1143" s="38"/>
      <c r="C1143" s="38"/>
      <c r="D1143" s="38"/>
      <c r="E1143" s="13"/>
      <c r="F1143" s="13"/>
      <c r="G1143" s="67"/>
      <c r="H1143" s="67"/>
      <c r="I1143" s="67"/>
      <c r="J1143" s="67"/>
      <c r="K1143" s="38"/>
      <c r="L1143" s="38"/>
      <c r="M1143" s="66" t="str">
        <f aca="false">IF(OR($D1143="",$F1143=""),"",IF(COUNTIFS($D$7:$D1143,$D1143,$F$7:$F1143,$F1143)=1,1,0))</f>
        <v/>
      </c>
    </row>
    <row r="1144" customFormat="false" ht="15" hidden="false" customHeight="true" outlineLevel="0" collapsed="false">
      <c r="A1144" s="56"/>
      <c r="B1144" s="56"/>
      <c r="C1144" s="56"/>
      <c r="D1144" s="56"/>
      <c r="E1144" s="16"/>
      <c r="F1144" s="16"/>
      <c r="G1144" s="67"/>
      <c r="H1144" s="67"/>
      <c r="I1144" s="67"/>
      <c r="J1144" s="67"/>
      <c r="K1144" s="56"/>
      <c r="L1144" s="56"/>
      <c r="M1144" s="66" t="str">
        <f aca="false">IF(OR($D1144="",$F1144=""),"",IF(COUNTIFS($D$7:$D1144,$D1144,$F$7:$F1144,$F1144)=1,1,0))</f>
        <v/>
      </c>
    </row>
    <row r="1145" customFormat="false" ht="15" hidden="false" customHeight="true" outlineLevel="0" collapsed="false">
      <c r="A1145" s="38"/>
      <c r="B1145" s="38"/>
      <c r="C1145" s="38"/>
      <c r="D1145" s="38"/>
      <c r="E1145" s="13"/>
      <c r="F1145" s="13"/>
      <c r="G1145" s="67"/>
      <c r="H1145" s="67"/>
      <c r="I1145" s="67"/>
      <c r="J1145" s="67"/>
      <c r="K1145" s="38"/>
      <c r="L1145" s="38"/>
      <c r="M1145" s="66" t="str">
        <f aca="false">IF(OR($D1145="",$F1145=""),"",IF(COUNTIFS($D$7:$D1145,$D1145,$F$7:$F1145,$F1145)=1,1,0))</f>
        <v/>
      </c>
    </row>
    <row r="1146" customFormat="false" ht="15" hidden="false" customHeight="true" outlineLevel="0" collapsed="false">
      <c r="A1146" s="56"/>
      <c r="B1146" s="56"/>
      <c r="C1146" s="56"/>
      <c r="D1146" s="56"/>
      <c r="E1146" s="16"/>
      <c r="F1146" s="16"/>
      <c r="G1146" s="67"/>
      <c r="H1146" s="67"/>
      <c r="I1146" s="67"/>
      <c r="J1146" s="67"/>
      <c r="K1146" s="56"/>
      <c r="L1146" s="56"/>
      <c r="M1146" s="66" t="str">
        <f aca="false">IF(OR($D1146="",$F1146=""),"",IF(COUNTIFS($D$7:$D1146,$D1146,$F$7:$F1146,$F1146)=1,1,0))</f>
        <v/>
      </c>
    </row>
    <row r="1147" customFormat="false" ht="15" hidden="false" customHeight="true" outlineLevel="0" collapsed="false">
      <c r="A1147" s="38"/>
      <c r="B1147" s="38"/>
      <c r="C1147" s="38"/>
      <c r="D1147" s="38"/>
      <c r="E1147" s="13"/>
      <c r="F1147" s="13"/>
      <c r="G1147" s="67"/>
      <c r="H1147" s="67"/>
      <c r="I1147" s="67"/>
      <c r="J1147" s="67"/>
      <c r="K1147" s="38"/>
      <c r="L1147" s="38"/>
      <c r="M1147" s="66" t="str">
        <f aca="false">IF(OR($D1147="",$F1147=""),"",IF(COUNTIFS($D$7:$D1147,$D1147,$F$7:$F1147,$F1147)=1,1,0))</f>
        <v/>
      </c>
    </row>
    <row r="1148" customFormat="false" ht="15" hidden="false" customHeight="true" outlineLevel="0" collapsed="false">
      <c r="A1148" s="56"/>
      <c r="B1148" s="56"/>
      <c r="C1148" s="56"/>
      <c r="D1148" s="56"/>
      <c r="E1148" s="16"/>
      <c r="F1148" s="16"/>
      <c r="G1148" s="67"/>
      <c r="H1148" s="67"/>
      <c r="I1148" s="67"/>
      <c r="J1148" s="67"/>
      <c r="K1148" s="56"/>
      <c r="L1148" s="56"/>
      <c r="M1148" s="66" t="str">
        <f aca="false">IF(OR($D1148="",$F1148=""),"",IF(COUNTIFS($D$7:$D1148,$D1148,$F$7:$F1148,$F1148)=1,1,0))</f>
        <v/>
      </c>
    </row>
    <row r="1149" customFormat="false" ht="15" hidden="false" customHeight="true" outlineLevel="0" collapsed="false">
      <c r="A1149" s="38"/>
      <c r="B1149" s="38"/>
      <c r="C1149" s="38"/>
      <c r="D1149" s="38"/>
      <c r="E1149" s="13"/>
      <c r="F1149" s="13"/>
      <c r="G1149" s="67"/>
      <c r="H1149" s="67"/>
      <c r="I1149" s="67"/>
      <c r="J1149" s="67"/>
      <c r="K1149" s="38"/>
      <c r="L1149" s="38"/>
      <c r="M1149" s="66" t="str">
        <f aca="false">IF(OR($D1149="",$F1149=""),"",IF(COUNTIFS($D$7:$D1149,$D1149,$F$7:$F1149,$F1149)=1,1,0))</f>
        <v/>
      </c>
    </row>
    <row r="1150" customFormat="false" ht="15" hidden="false" customHeight="true" outlineLevel="0" collapsed="false">
      <c r="A1150" s="56"/>
      <c r="B1150" s="56"/>
      <c r="C1150" s="56"/>
      <c r="D1150" s="56"/>
      <c r="E1150" s="16"/>
      <c r="F1150" s="16"/>
      <c r="G1150" s="67"/>
      <c r="H1150" s="67"/>
      <c r="I1150" s="67"/>
      <c r="J1150" s="67"/>
      <c r="K1150" s="56"/>
      <c r="L1150" s="56"/>
      <c r="M1150" s="66" t="str">
        <f aca="false">IF(OR($D1150="",$F1150=""),"",IF(COUNTIFS($D$7:$D1150,$D1150,$F$7:$F1150,$F1150)=1,1,0))</f>
        <v/>
      </c>
    </row>
    <row r="1151" customFormat="false" ht="15" hidden="false" customHeight="true" outlineLevel="0" collapsed="false">
      <c r="A1151" s="38"/>
      <c r="B1151" s="38"/>
      <c r="C1151" s="38"/>
      <c r="D1151" s="38"/>
      <c r="E1151" s="13"/>
      <c r="F1151" s="13"/>
      <c r="G1151" s="67"/>
      <c r="H1151" s="67"/>
      <c r="I1151" s="67"/>
      <c r="J1151" s="67"/>
      <c r="K1151" s="38"/>
      <c r="L1151" s="38"/>
      <c r="M1151" s="66" t="str">
        <f aca="false">IF(OR($D1151="",$F1151=""),"",IF(COUNTIFS($D$7:$D1151,$D1151,$F$7:$F1151,$F1151)=1,1,0))</f>
        <v/>
      </c>
    </row>
    <row r="1152" customFormat="false" ht="15" hidden="false" customHeight="true" outlineLevel="0" collapsed="false">
      <c r="A1152" s="56"/>
      <c r="B1152" s="56"/>
      <c r="C1152" s="56"/>
      <c r="D1152" s="56"/>
      <c r="E1152" s="16"/>
      <c r="F1152" s="16"/>
      <c r="G1152" s="67"/>
      <c r="H1152" s="67"/>
      <c r="I1152" s="67"/>
      <c r="J1152" s="67"/>
      <c r="K1152" s="56"/>
      <c r="L1152" s="56"/>
      <c r="M1152" s="66" t="str">
        <f aca="false">IF(OR($D1152="",$F1152=""),"",IF(COUNTIFS($D$7:$D1152,$D1152,$F$7:$F1152,$F1152)=1,1,0))</f>
        <v/>
      </c>
    </row>
    <row r="1153" customFormat="false" ht="15" hidden="false" customHeight="true" outlineLevel="0" collapsed="false">
      <c r="A1153" s="38"/>
      <c r="B1153" s="38"/>
      <c r="C1153" s="38"/>
      <c r="D1153" s="38"/>
      <c r="E1153" s="13"/>
      <c r="F1153" s="13"/>
      <c r="G1153" s="67"/>
      <c r="H1153" s="67"/>
      <c r="I1153" s="67"/>
      <c r="J1153" s="67"/>
      <c r="K1153" s="38"/>
      <c r="L1153" s="38"/>
      <c r="M1153" s="66" t="str">
        <f aca="false">IF(OR($D1153="",$F1153=""),"",IF(COUNTIFS($D$7:$D1153,$D1153,$F$7:$F1153,$F1153)=1,1,0))</f>
        <v/>
      </c>
    </row>
    <row r="1154" customFormat="false" ht="15" hidden="false" customHeight="true" outlineLevel="0" collapsed="false">
      <c r="A1154" s="56"/>
      <c r="B1154" s="56"/>
      <c r="C1154" s="56"/>
      <c r="D1154" s="56"/>
      <c r="E1154" s="16"/>
      <c r="F1154" s="16"/>
      <c r="G1154" s="67"/>
      <c r="H1154" s="67"/>
      <c r="I1154" s="67"/>
      <c r="J1154" s="67"/>
      <c r="K1154" s="56"/>
      <c r="L1154" s="56"/>
      <c r="M1154" s="66" t="str">
        <f aca="false">IF(OR($D1154="",$F1154=""),"",IF(COUNTIFS($D$7:$D1154,$D1154,$F$7:$F1154,$F1154)=1,1,0))</f>
        <v/>
      </c>
    </row>
    <row r="1155" customFormat="false" ht="15" hidden="false" customHeight="true" outlineLevel="0" collapsed="false">
      <c r="A1155" s="38"/>
      <c r="B1155" s="38"/>
      <c r="C1155" s="38"/>
      <c r="D1155" s="38"/>
      <c r="E1155" s="13"/>
      <c r="F1155" s="13"/>
      <c r="G1155" s="67"/>
      <c r="H1155" s="67"/>
      <c r="I1155" s="67"/>
      <c r="J1155" s="67"/>
      <c r="K1155" s="38"/>
      <c r="L1155" s="38"/>
      <c r="M1155" s="66" t="str">
        <f aca="false">IF(OR($D1155="",$F1155=""),"",IF(COUNTIFS($D$7:$D1155,$D1155,$F$7:$F1155,$F1155)=1,1,0))</f>
        <v/>
      </c>
    </row>
    <row r="1156" customFormat="false" ht="15" hidden="false" customHeight="true" outlineLevel="0" collapsed="false">
      <c r="A1156" s="56"/>
      <c r="B1156" s="56"/>
      <c r="C1156" s="56"/>
      <c r="D1156" s="56"/>
      <c r="E1156" s="16"/>
      <c r="F1156" s="16"/>
      <c r="G1156" s="67"/>
      <c r="H1156" s="67"/>
      <c r="I1156" s="67"/>
      <c r="J1156" s="67"/>
      <c r="K1156" s="56"/>
      <c r="L1156" s="56"/>
      <c r="M1156" s="66" t="str">
        <f aca="false">IF(OR($D1156="",$F1156=""),"",IF(COUNTIFS($D$7:$D1156,$D1156,$F$7:$F1156,$F1156)=1,1,0))</f>
        <v/>
      </c>
    </row>
    <row r="1157" customFormat="false" ht="15" hidden="false" customHeight="true" outlineLevel="0" collapsed="false">
      <c r="A1157" s="38"/>
      <c r="B1157" s="38"/>
      <c r="C1157" s="38"/>
      <c r="D1157" s="38"/>
      <c r="E1157" s="13"/>
      <c r="F1157" s="13"/>
      <c r="G1157" s="67"/>
      <c r="H1157" s="67"/>
      <c r="I1157" s="67"/>
      <c r="J1157" s="67"/>
      <c r="K1157" s="38"/>
      <c r="L1157" s="38"/>
      <c r="M1157" s="66" t="str">
        <f aca="false">IF(OR($D1157="",$F1157=""),"",IF(COUNTIFS($D$7:$D1157,$D1157,$F$7:$F1157,$F1157)=1,1,0))</f>
        <v/>
      </c>
    </row>
    <row r="1158" customFormat="false" ht="15" hidden="false" customHeight="true" outlineLevel="0" collapsed="false">
      <c r="A1158" s="56"/>
      <c r="B1158" s="56"/>
      <c r="C1158" s="56"/>
      <c r="D1158" s="56"/>
      <c r="E1158" s="16"/>
      <c r="F1158" s="16"/>
      <c r="G1158" s="67"/>
      <c r="H1158" s="67"/>
      <c r="I1158" s="67"/>
      <c r="J1158" s="67"/>
      <c r="K1158" s="56"/>
      <c r="L1158" s="56"/>
      <c r="M1158" s="66" t="str">
        <f aca="false">IF(OR($D1158="",$F1158=""),"",IF(COUNTIFS($D$7:$D1158,$D1158,$F$7:$F1158,$F1158)=1,1,0))</f>
        <v/>
      </c>
    </row>
    <row r="1159" customFormat="false" ht="15" hidden="false" customHeight="true" outlineLevel="0" collapsed="false">
      <c r="A1159" s="38"/>
      <c r="B1159" s="38"/>
      <c r="C1159" s="38"/>
      <c r="D1159" s="38"/>
      <c r="E1159" s="13"/>
      <c r="F1159" s="13"/>
      <c r="G1159" s="67"/>
      <c r="H1159" s="67"/>
      <c r="I1159" s="67"/>
      <c r="J1159" s="67"/>
      <c r="K1159" s="38"/>
      <c r="L1159" s="38"/>
      <c r="M1159" s="66" t="str">
        <f aca="false">IF(OR($D1159="",$F1159=""),"",IF(COUNTIFS($D$7:$D1159,$D1159,$F$7:$F1159,$F1159)=1,1,0))</f>
        <v/>
      </c>
    </row>
    <row r="1160" customFormat="false" ht="15" hidden="false" customHeight="true" outlineLevel="0" collapsed="false">
      <c r="A1160" s="56"/>
      <c r="B1160" s="56"/>
      <c r="C1160" s="56"/>
      <c r="D1160" s="56"/>
      <c r="E1160" s="16"/>
      <c r="F1160" s="16"/>
      <c r="G1160" s="67"/>
      <c r="H1160" s="67"/>
      <c r="I1160" s="67"/>
      <c r="J1160" s="67"/>
      <c r="K1160" s="56"/>
      <c r="L1160" s="56"/>
      <c r="M1160" s="66" t="str">
        <f aca="false">IF(OR($D1160="",$F1160=""),"",IF(COUNTIFS($D$7:$D1160,$D1160,$F$7:$F1160,$F1160)=1,1,0))</f>
        <v/>
      </c>
    </row>
    <row r="1161" customFormat="false" ht="15" hidden="false" customHeight="true" outlineLevel="0" collapsed="false">
      <c r="A1161" s="38"/>
      <c r="B1161" s="38"/>
      <c r="C1161" s="38"/>
      <c r="D1161" s="38"/>
      <c r="E1161" s="13"/>
      <c r="F1161" s="13"/>
      <c r="G1161" s="67"/>
      <c r="H1161" s="67"/>
      <c r="I1161" s="67"/>
      <c r="J1161" s="67"/>
      <c r="K1161" s="38"/>
      <c r="L1161" s="38"/>
      <c r="M1161" s="66" t="str">
        <f aca="false">IF(OR($D1161="",$F1161=""),"",IF(COUNTIFS($D$7:$D1161,$D1161,$F$7:$F1161,$F1161)=1,1,0))</f>
        <v/>
      </c>
    </row>
    <row r="1162" customFormat="false" ht="15" hidden="false" customHeight="true" outlineLevel="0" collapsed="false">
      <c r="A1162" s="56"/>
      <c r="B1162" s="56"/>
      <c r="C1162" s="56"/>
      <c r="D1162" s="56"/>
      <c r="E1162" s="16"/>
      <c r="F1162" s="16"/>
      <c r="G1162" s="67"/>
      <c r="H1162" s="67"/>
      <c r="I1162" s="67"/>
      <c r="J1162" s="67"/>
      <c r="K1162" s="56"/>
      <c r="L1162" s="56"/>
      <c r="M1162" s="66" t="str">
        <f aca="false">IF(OR($D1162="",$F1162=""),"",IF(COUNTIFS($D$7:$D1162,$D1162,$F$7:$F1162,$F1162)=1,1,0))</f>
        <v/>
      </c>
    </row>
    <row r="1163" customFormat="false" ht="15" hidden="false" customHeight="true" outlineLevel="0" collapsed="false">
      <c r="A1163" s="38"/>
      <c r="B1163" s="38"/>
      <c r="C1163" s="38"/>
      <c r="D1163" s="38"/>
      <c r="E1163" s="13"/>
      <c r="F1163" s="13"/>
      <c r="G1163" s="67"/>
      <c r="H1163" s="67"/>
      <c r="I1163" s="67"/>
      <c r="J1163" s="67"/>
      <c r="K1163" s="38"/>
      <c r="L1163" s="38"/>
      <c r="M1163" s="66" t="str">
        <f aca="false">IF(OR($D1163="",$F1163=""),"",IF(COUNTIFS($D$7:$D1163,$D1163,$F$7:$F1163,$F1163)=1,1,0))</f>
        <v/>
      </c>
    </row>
    <row r="1164" customFormat="false" ht="15" hidden="false" customHeight="true" outlineLevel="0" collapsed="false">
      <c r="A1164" s="56"/>
      <c r="B1164" s="56"/>
      <c r="C1164" s="56"/>
      <c r="D1164" s="56"/>
      <c r="E1164" s="16"/>
      <c r="F1164" s="16"/>
      <c r="G1164" s="67"/>
      <c r="H1164" s="67"/>
      <c r="I1164" s="67"/>
      <c r="J1164" s="67"/>
      <c r="K1164" s="56"/>
      <c r="L1164" s="56"/>
      <c r="M1164" s="66" t="str">
        <f aca="false">IF(OR($D1164="",$F1164=""),"",IF(COUNTIFS($D$7:$D1164,$D1164,$F$7:$F1164,$F1164)=1,1,0))</f>
        <v/>
      </c>
    </row>
    <row r="1165" customFormat="false" ht="15" hidden="false" customHeight="true" outlineLevel="0" collapsed="false">
      <c r="A1165" s="38"/>
      <c r="B1165" s="38"/>
      <c r="C1165" s="38"/>
      <c r="D1165" s="38"/>
      <c r="E1165" s="13"/>
      <c r="F1165" s="13"/>
      <c r="G1165" s="67"/>
      <c r="H1165" s="67"/>
      <c r="I1165" s="67"/>
      <c r="J1165" s="67"/>
      <c r="K1165" s="38"/>
      <c r="L1165" s="38"/>
      <c r="M1165" s="66" t="str">
        <f aca="false">IF(OR($D1165="",$F1165=""),"",IF(COUNTIFS($D$7:$D1165,$D1165,$F$7:$F1165,$F1165)=1,1,0))</f>
        <v/>
      </c>
    </row>
    <row r="1166" customFormat="false" ht="15" hidden="false" customHeight="true" outlineLevel="0" collapsed="false">
      <c r="A1166" s="56"/>
      <c r="B1166" s="56"/>
      <c r="C1166" s="56"/>
      <c r="D1166" s="56"/>
      <c r="E1166" s="16"/>
      <c r="F1166" s="16"/>
      <c r="G1166" s="67"/>
      <c r="H1166" s="67"/>
      <c r="I1166" s="67"/>
      <c r="J1166" s="67"/>
      <c r="K1166" s="56"/>
      <c r="L1166" s="56"/>
      <c r="M1166" s="66" t="str">
        <f aca="false">IF(OR($D1166="",$F1166=""),"",IF(COUNTIFS($D$7:$D1166,$D1166,$F$7:$F1166,$F1166)=1,1,0))</f>
        <v/>
      </c>
    </row>
    <row r="1167" customFormat="false" ht="15" hidden="false" customHeight="true" outlineLevel="0" collapsed="false">
      <c r="A1167" s="38"/>
      <c r="B1167" s="38"/>
      <c r="C1167" s="38"/>
      <c r="D1167" s="38"/>
      <c r="E1167" s="13"/>
      <c r="F1167" s="13"/>
      <c r="G1167" s="67"/>
      <c r="H1167" s="67"/>
      <c r="I1167" s="67"/>
      <c r="J1167" s="67"/>
      <c r="K1167" s="38"/>
      <c r="L1167" s="38"/>
      <c r="M1167" s="66" t="str">
        <f aca="false">IF(OR($D1167="",$F1167=""),"",IF(COUNTIFS($D$7:$D1167,$D1167,$F$7:$F1167,$F1167)=1,1,0))</f>
        <v/>
      </c>
    </row>
    <row r="1168" customFormat="false" ht="15" hidden="false" customHeight="true" outlineLevel="0" collapsed="false">
      <c r="A1168" s="56"/>
      <c r="B1168" s="56"/>
      <c r="C1168" s="56"/>
      <c r="D1168" s="56"/>
      <c r="E1168" s="16"/>
      <c r="F1168" s="16"/>
      <c r="G1168" s="67"/>
      <c r="H1168" s="67"/>
      <c r="I1168" s="67"/>
      <c r="J1168" s="67"/>
      <c r="K1168" s="56"/>
      <c r="L1168" s="56"/>
      <c r="M1168" s="66" t="str">
        <f aca="false">IF(OR($D1168="",$F1168=""),"",IF(COUNTIFS($D$7:$D1168,$D1168,$F$7:$F1168,$F1168)=1,1,0))</f>
        <v/>
      </c>
    </row>
    <row r="1169" customFormat="false" ht="15" hidden="false" customHeight="true" outlineLevel="0" collapsed="false">
      <c r="A1169" s="38"/>
      <c r="B1169" s="38"/>
      <c r="C1169" s="38"/>
      <c r="D1169" s="38"/>
      <c r="E1169" s="13"/>
      <c r="F1169" s="13"/>
      <c r="G1169" s="67"/>
      <c r="H1169" s="67"/>
      <c r="I1169" s="67"/>
      <c r="J1169" s="67"/>
      <c r="K1169" s="38"/>
      <c r="L1169" s="38"/>
      <c r="M1169" s="66" t="str">
        <f aca="false">IF(OR($D1169="",$F1169=""),"",IF(COUNTIFS($D$7:$D1169,$D1169,$F$7:$F1169,$F1169)=1,1,0))</f>
        <v/>
      </c>
    </row>
    <row r="1170" customFormat="false" ht="15" hidden="false" customHeight="true" outlineLevel="0" collapsed="false">
      <c r="A1170" s="56"/>
      <c r="B1170" s="56"/>
      <c r="C1170" s="56"/>
      <c r="D1170" s="56"/>
      <c r="E1170" s="16"/>
      <c r="F1170" s="16"/>
      <c r="G1170" s="67"/>
      <c r="H1170" s="67"/>
      <c r="I1170" s="67"/>
      <c r="J1170" s="67"/>
      <c r="K1170" s="56"/>
      <c r="L1170" s="56"/>
      <c r="M1170" s="66" t="str">
        <f aca="false">IF(OR($D1170="",$F1170=""),"",IF(COUNTIFS($D$7:$D1170,$D1170,$F$7:$F1170,$F1170)=1,1,0))</f>
        <v/>
      </c>
    </row>
    <row r="1171" customFormat="false" ht="15" hidden="false" customHeight="true" outlineLevel="0" collapsed="false">
      <c r="A1171" s="38"/>
      <c r="B1171" s="38"/>
      <c r="C1171" s="38"/>
      <c r="D1171" s="38"/>
      <c r="E1171" s="13"/>
      <c r="F1171" s="13"/>
      <c r="G1171" s="67"/>
      <c r="H1171" s="67"/>
      <c r="I1171" s="67"/>
      <c r="J1171" s="67"/>
      <c r="K1171" s="38"/>
      <c r="L1171" s="38"/>
      <c r="M1171" s="66" t="str">
        <f aca="false">IF(OR($D1171="",$F1171=""),"",IF(COUNTIFS($D$7:$D1171,$D1171,$F$7:$F1171,$F1171)=1,1,0))</f>
        <v/>
      </c>
    </row>
    <row r="1172" customFormat="false" ht="15" hidden="false" customHeight="true" outlineLevel="0" collapsed="false">
      <c r="A1172" s="56"/>
      <c r="B1172" s="56"/>
      <c r="C1172" s="56"/>
      <c r="D1172" s="56"/>
      <c r="E1172" s="16"/>
      <c r="F1172" s="16"/>
      <c r="G1172" s="67"/>
      <c r="H1172" s="67"/>
      <c r="I1172" s="67"/>
      <c r="J1172" s="67"/>
      <c r="K1172" s="56"/>
      <c r="L1172" s="56"/>
      <c r="M1172" s="66" t="str">
        <f aca="false">IF(OR($D1172="",$F1172=""),"",IF(COUNTIFS($D$7:$D1172,$D1172,$F$7:$F1172,$F1172)=1,1,0))</f>
        <v/>
      </c>
    </row>
    <row r="1173" customFormat="false" ht="15" hidden="false" customHeight="true" outlineLevel="0" collapsed="false">
      <c r="A1173" s="38"/>
      <c r="B1173" s="38"/>
      <c r="C1173" s="38"/>
      <c r="D1173" s="38"/>
      <c r="E1173" s="13"/>
      <c r="F1173" s="13"/>
      <c r="G1173" s="67"/>
      <c r="H1173" s="67"/>
      <c r="I1173" s="67"/>
      <c r="J1173" s="67"/>
      <c r="K1173" s="38"/>
      <c r="L1173" s="38"/>
      <c r="M1173" s="66" t="str">
        <f aca="false">IF(OR($D1173="",$F1173=""),"",IF(COUNTIFS($D$7:$D1173,$D1173,$F$7:$F1173,$F1173)=1,1,0))</f>
        <v/>
      </c>
    </row>
    <row r="1174" customFormat="false" ht="15" hidden="false" customHeight="true" outlineLevel="0" collapsed="false">
      <c r="A1174" s="56"/>
      <c r="B1174" s="56"/>
      <c r="C1174" s="56"/>
      <c r="D1174" s="56"/>
      <c r="E1174" s="16"/>
      <c r="F1174" s="16"/>
      <c r="G1174" s="67"/>
      <c r="H1174" s="67"/>
      <c r="I1174" s="67"/>
      <c r="J1174" s="67"/>
      <c r="K1174" s="56"/>
      <c r="L1174" s="56"/>
      <c r="M1174" s="66" t="str">
        <f aca="false">IF(OR($D1174="",$F1174=""),"",IF(COUNTIFS($D$7:$D1174,$D1174,$F$7:$F1174,$F1174)=1,1,0))</f>
        <v/>
      </c>
    </row>
    <row r="1175" customFormat="false" ht="15" hidden="false" customHeight="true" outlineLevel="0" collapsed="false">
      <c r="A1175" s="38"/>
      <c r="B1175" s="38"/>
      <c r="C1175" s="38"/>
      <c r="D1175" s="38"/>
      <c r="E1175" s="13"/>
      <c r="F1175" s="13"/>
      <c r="G1175" s="67"/>
      <c r="H1175" s="67"/>
      <c r="I1175" s="67"/>
      <c r="J1175" s="67"/>
      <c r="K1175" s="38"/>
      <c r="L1175" s="38"/>
      <c r="M1175" s="66" t="str">
        <f aca="false">IF(OR($D1175="",$F1175=""),"",IF(COUNTIFS($D$7:$D1175,$D1175,$F$7:$F1175,$F1175)=1,1,0))</f>
        <v/>
      </c>
    </row>
    <row r="1176" customFormat="false" ht="15" hidden="false" customHeight="true" outlineLevel="0" collapsed="false">
      <c r="A1176" s="56"/>
      <c r="B1176" s="56"/>
      <c r="C1176" s="56"/>
      <c r="D1176" s="56"/>
      <c r="E1176" s="16"/>
      <c r="F1176" s="16"/>
      <c r="G1176" s="67"/>
      <c r="H1176" s="67"/>
      <c r="I1176" s="67"/>
      <c r="J1176" s="67"/>
      <c r="K1176" s="56"/>
      <c r="L1176" s="56"/>
      <c r="M1176" s="66" t="str">
        <f aca="false">IF(OR($D1176="",$F1176=""),"",IF(COUNTIFS($D$7:$D1176,$D1176,$F$7:$F1176,$F1176)=1,1,0))</f>
        <v/>
      </c>
    </row>
    <row r="1177" customFormat="false" ht="15" hidden="false" customHeight="true" outlineLevel="0" collapsed="false">
      <c r="A1177" s="38"/>
      <c r="B1177" s="38"/>
      <c r="C1177" s="38"/>
      <c r="D1177" s="38"/>
      <c r="E1177" s="13"/>
      <c r="F1177" s="13"/>
      <c r="G1177" s="67"/>
      <c r="H1177" s="67"/>
      <c r="I1177" s="67"/>
      <c r="J1177" s="67"/>
      <c r="K1177" s="38"/>
      <c r="L1177" s="38"/>
      <c r="M1177" s="66" t="str">
        <f aca="false">IF(OR($D1177="",$F1177=""),"",IF(COUNTIFS($D$7:$D1177,$D1177,$F$7:$F1177,$F1177)=1,1,0))</f>
        <v/>
      </c>
    </row>
    <row r="1178" customFormat="false" ht="15" hidden="false" customHeight="true" outlineLevel="0" collapsed="false">
      <c r="A1178" s="56"/>
      <c r="B1178" s="56"/>
      <c r="C1178" s="56"/>
      <c r="D1178" s="56"/>
      <c r="E1178" s="16"/>
      <c r="F1178" s="16"/>
      <c r="G1178" s="67"/>
      <c r="H1178" s="67"/>
      <c r="I1178" s="67"/>
      <c r="J1178" s="67"/>
      <c r="K1178" s="56"/>
      <c r="L1178" s="56"/>
      <c r="M1178" s="66" t="str">
        <f aca="false">IF(OR($D1178="",$F1178=""),"",IF(COUNTIFS($D$7:$D1178,$D1178,$F$7:$F1178,$F1178)=1,1,0))</f>
        <v/>
      </c>
    </row>
    <row r="1179" customFormat="false" ht="15" hidden="false" customHeight="true" outlineLevel="0" collapsed="false">
      <c r="A1179" s="38"/>
      <c r="B1179" s="38"/>
      <c r="C1179" s="38"/>
      <c r="D1179" s="38"/>
      <c r="E1179" s="13"/>
      <c r="F1179" s="13"/>
      <c r="G1179" s="67"/>
      <c r="H1179" s="67"/>
      <c r="I1179" s="67"/>
      <c r="J1179" s="67"/>
      <c r="K1179" s="38"/>
      <c r="L1179" s="38"/>
      <c r="M1179" s="66" t="str">
        <f aca="false">IF(OR($D1179="",$F1179=""),"",IF(COUNTIFS($D$7:$D1179,$D1179,$F$7:$F1179,$F1179)=1,1,0))</f>
        <v/>
      </c>
    </row>
    <row r="1180" customFormat="false" ht="15" hidden="false" customHeight="true" outlineLevel="0" collapsed="false">
      <c r="A1180" s="56"/>
      <c r="B1180" s="56"/>
      <c r="C1180" s="56"/>
      <c r="D1180" s="56"/>
      <c r="E1180" s="16"/>
      <c r="F1180" s="16"/>
      <c r="G1180" s="67"/>
      <c r="H1180" s="67"/>
      <c r="I1180" s="67"/>
      <c r="J1180" s="67"/>
      <c r="K1180" s="56"/>
      <c r="L1180" s="56"/>
      <c r="M1180" s="66" t="str">
        <f aca="false">IF(OR($D1180="",$F1180=""),"",IF(COUNTIFS($D$7:$D1180,$D1180,$F$7:$F1180,$F1180)=1,1,0))</f>
        <v/>
      </c>
    </row>
    <row r="1181" customFormat="false" ht="15" hidden="false" customHeight="true" outlineLevel="0" collapsed="false">
      <c r="A1181" s="38"/>
      <c r="B1181" s="38"/>
      <c r="C1181" s="38"/>
      <c r="D1181" s="38"/>
      <c r="E1181" s="13"/>
      <c r="F1181" s="13"/>
      <c r="G1181" s="67"/>
      <c r="H1181" s="67"/>
      <c r="I1181" s="67"/>
      <c r="J1181" s="67"/>
      <c r="K1181" s="38"/>
      <c r="L1181" s="38"/>
      <c r="M1181" s="66" t="str">
        <f aca="false">IF(OR($D1181="",$F1181=""),"",IF(COUNTIFS($D$7:$D1181,$D1181,$F$7:$F1181,$F1181)=1,1,0))</f>
        <v/>
      </c>
    </row>
    <row r="1182" customFormat="false" ht="15" hidden="false" customHeight="true" outlineLevel="0" collapsed="false">
      <c r="A1182" s="56"/>
      <c r="B1182" s="56"/>
      <c r="C1182" s="56"/>
      <c r="D1182" s="56"/>
      <c r="E1182" s="16"/>
      <c r="F1182" s="16"/>
      <c r="G1182" s="67"/>
      <c r="H1182" s="67"/>
      <c r="I1182" s="67"/>
      <c r="J1182" s="67"/>
      <c r="K1182" s="56"/>
      <c r="L1182" s="56"/>
      <c r="M1182" s="66" t="str">
        <f aca="false">IF(OR($D1182="",$F1182=""),"",IF(COUNTIFS($D$7:$D1182,$D1182,$F$7:$F1182,$F1182)=1,1,0))</f>
        <v/>
      </c>
    </row>
    <row r="1183" customFormat="false" ht="15" hidden="false" customHeight="true" outlineLevel="0" collapsed="false">
      <c r="A1183" s="38"/>
      <c r="B1183" s="38"/>
      <c r="C1183" s="38"/>
      <c r="D1183" s="38"/>
      <c r="E1183" s="13"/>
      <c r="F1183" s="13"/>
      <c r="G1183" s="67"/>
      <c r="H1183" s="67"/>
      <c r="I1183" s="67"/>
      <c r="J1183" s="67"/>
      <c r="K1183" s="38"/>
      <c r="L1183" s="38"/>
      <c r="M1183" s="66" t="str">
        <f aca="false">IF(OR($D1183="",$F1183=""),"",IF(COUNTIFS($D$7:$D1183,$D1183,$F$7:$F1183,$F1183)=1,1,0))</f>
        <v/>
      </c>
    </row>
    <row r="1184" customFormat="false" ht="15" hidden="false" customHeight="true" outlineLevel="0" collapsed="false">
      <c r="A1184" s="56"/>
      <c r="B1184" s="56"/>
      <c r="C1184" s="56"/>
      <c r="D1184" s="56"/>
      <c r="E1184" s="16"/>
      <c r="F1184" s="16"/>
      <c r="G1184" s="67"/>
      <c r="H1184" s="67"/>
      <c r="I1184" s="67"/>
      <c r="J1184" s="67"/>
      <c r="K1184" s="56"/>
      <c r="L1184" s="56"/>
      <c r="M1184" s="66" t="str">
        <f aca="false">IF(OR($D1184="",$F1184=""),"",IF(COUNTIFS($D$7:$D1184,$D1184,$F$7:$F1184,$F1184)=1,1,0))</f>
        <v/>
      </c>
    </row>
    <row r="1185" customFormat="false" ht="15" hidden="false" customHeight="true" outlineLevel="0" collapsed="false">
      <c r="A1185" s="38"/>
      <c r="B1185" s="38"/>
      <c r="C1185" s="38"/>
      <c r="D1185" s="38"/>
      <c r="E1185" s="13"/>
      <c r="F1185" s="13"/>
      <c r="G1185" s="67"/>
      <c r="H1185" s="67"/>
      <c r="I1185" s="67"/>
      <c r="J1185" s="67"/>
      <c r="K1185" s="38"/>
      <c r="L1185" s="38"/>
      <c r="M1185" s="66" t="str">
        <f aca="false">IF(OR($D1185="",$F1185=""),"",IF(COUNTIFS($D$7:$D1185,$D1185,$F$7:$F1185,$F1185)=1,1,0))</f>
        <v/>
      </c>
    </row>
    <row r="1186" customFormat="false" ht="15" hidden="false" customHeight="true" outlineLevel="0" collapsed="false">
      <c r="A1186" s="56"/>
      <c r="B1186" s="56"/>
      <c r="C1186" s="56"/>
      <c r="D1186" s="56"/>
      <c r="E1186" s="16"/>
      <c r="F1186" s="16"/>
      <c r="G1186" s="67"/>
      <c r="H1186" s="67"/>
      <c r="I1186" s="67"/>
      <c r="J1186" s="67"/>
      <c r="K1186" s="56"/>
      <c r="L1186" s="56"/>
      <c r="M1186" s="66" t="str">
        <f aca="false">IF(OR($D1186="",$F1186=""),"",IF(COUNTIFS($D$7:$D1186,$D1186,$F$7:$F1186,$F1186)=1,1,0))</f>
        <v/>
      </c>
    </row>
    <row r="1187" customFormat="false" ht="15" hidden="false" customHeight="true" outlineLevel="0" collapsed="false">
      <c r="A1187" s="38"/>
      <c r="B1187" s="38"/>
      <c r="C1187" s="38"/>
      <c r="D1187" s="38"/>
      <c r="E1187" s="13"/>
      <c r="F1187" s="13"/>
      <c r="G1187" s="67"/>
      <c r="H1187" s="67"/>
      <c r="I1187" s="67"/>
      <c r="J1187" s="67"/>
      <c r="K1187" s="38"/>
      <c r="L1187" s="38"/>
      <c r="M1187" s="66" t="str">
        <f aca="false">IF(OR($D1187="",$F1187=""),"",IF(COUNTIFS($D$7:$D1187,$D1187,$F$7:$F1187,$F1187)=1,1,0))</f>
        <v/>
      </c>
    </row>
    <row r="1188" customFormat="false" ht="15" hidden="false" customHeight="true" outlineLevel="0" collapsed="false">
      <c r="A1188" s="56"/>
      <c r="B1188" s="56"/>
      <c r="C1188" s="56"/>
      <c r="D1188" s="56"/>
      <c r="E1188" s="16"/>
      <c r="F1188" s="16"/>
      <c r="G1188" s="67"/>
      <c r="H1188" s="67"/>
      <c r="I1188" s="67"/>
      <c r="J1188" s="67"/>
      <c r="K1188" s="56"/>
      <c r="L1188" s="56"/>
      <c r="M1188" s="66" t="str">
        <f aca="false">IF(OR($D1188="",$F1188=""),"",IF(COUNTIFS($D$7:$D1188,$D1188,$F$7:$F1188,$F1188)=1,1,0))</f>
        <v/>
      </c>
    </row>
    <row r="1189" customFormat="false" ht="15" hidden="false" customHeight="true" outlineLevel="0" collapsed="false">
      <c r="A1189" s="38"/>
      <c r="B1189" s="38"/>
      <c r="C1189" s="38"/>
      <c r="D1189" s="38"/>
      <c r="E1189" s="13"/>
      <c r="F1189" s="13"/>
      <c r="G1189" s="67"/>
      <c r="H1189" s="67"/>
      <c r="I1189" s="67"/>
      <c r="J1189" s="67"/>
      <c r="K1189" s="38"/>
      <c r="L1189" s="38"/>
      <c r="M1189" s="66" t="str">
        <f aca="false">IF(OR($D1189="",$F1189=""),"",IF(COUNTIFS($D$7:$D1189,$D1189,$F$7:$F1189,$F1189)=1,1,0))</f>
        <v/>
      </c>
    </row>
    <row r="1190" customFormat="false" ht="15" hidden="false" customHeight="true" outlineLevel="0" collapsed="false">
      <c r="A1190" s="56"/>
      <c r="B1190" s="56"/>
      <c r="C1190" s="56"/>
      <c r="D1190" s="56"/>
      <c r="E1190" s="16"/>
      <c r="F1190" s="16"/>
      <c r="G1190" s="67"/>
      <c r="H1190" s="67"/>
      <c r="I1190" s="67"/>
      <c r="J1190" s="67"/>
      <c r="K1190" s="56"/>
      <c r="L1190" s="56"/>
      <c r="M1190" s="66" t="str">
        <f aca="false">IF(OR($D1190="",$F1190=""),"",IF(COUNTIFS($D$7:$D1190,$D1190,$F$7:$F1190,$F1190)=1,1,0))</f>
        <v/>
      </c>
    </row>
    <row r="1191" customFormat="false" ht="15" hidden="false" customHeight="true" outlineLevel="0" collapsed="false">
      <c r="A1191" s="38"/>
      <c r="B1191" s="38"/>
      <c r="C1191" s="38"/>
      <c r="D1191" s="38"/>
      <c r="E1191" s="13"/>
      <c r="F1191" s="13"/>
      <c r="G1191" s="67"/>
      <c r="H1191" s="67"/>
      <c r="I1191" s="67"/>
      <c r="J1191" s="67"/>
      <c r="K1191" s="38"/>
      <c r="L1191" s="38"/>
      <c r="M1191" s="66" t="str">
        <f aca="false">IF(OR($D1191="",$F1191=""),"",IF(COUNTIFS($D$7:$D1191,$D1191,$F$7:$F1191,$F1191)=1,1,0))</f>
        <v/>
      </c>
    </row>
    <row r="1192" customFormat="false" ht="15" hidden="false" customHeight="true" outlineLevel="0" collapsed="false">
      <c r="A1192" s="56"/>
      <c r="B1192" s="56"/>
      <c r="C1192" s="56"/>
      <c r="D1192" s="56"/>
      <c r="E1192" s="16"/>
      <c r="F1192" s="16"/>
      <c r="G1192" s="67"/>
      <c r="H1192" s="67"/>
      <c r="I1192" s="67"/>
      <c r="J1192" s="67"/>
      <c r="K1192" s="56"/>
      <c r="L1192" s="56"/>
      <c r="M1192" s="66" t="str">
        <f aca="false">IF(OR($D1192="",$F1192=""),"",IF(COUNTIFS($D$7:$D1192,$D1192,$F$7:$F1192,$F1192)=1,1,0))</f>
        <v/>
      </c>
    </row>
    <row r="1193" customFormat="false" ht="15" hidden="false" customHeight="true" outlineLevel="0" collapsed="false">
      <c r="A1193" s="38"/>
      <c r="B1193" s="38"/>
      <c r="C1193" s="38"/>
      <c r="D1193" s="38"/>
      <c r="E1193" s="13"/>
      <c r="F1193" s="13"/>
      <c r="G1193" s="67"/>
      <c r="H1193" s="67"/>
      <c r="I1193" s="67"/>
      <c r="J1193" s="67"/>
      <c r="K1193" s="38"/>
      <c r="L1193" s="38"/>
      <c r="M1193" s="66" t="str">
        <f aca="false">IF(OR($D1193="",$F1193=""),"",IF(COUNTIFS($D$7:$D1193,$D1193,$F$7:$F1193,$F1193)=1,1,0))</f>
        <v/>
      </c>
    </row>
    <row r="1194" customFormat="false" ht="15" hidden="false" customHeight="true" outlineLevel="0" collapsed="false">
      <c r="A1194" s="56"/>
      <c r="B1194" s="56"/>
      <c r="C1194" s="56"/>
      <c r="D1194" s="56"/>
      <c r="E1194" s="16"/>
      <c r="F1194" s="16"/>
      <c r="G1194" s="67"/>
      <c r="H1194" s="67"/>
      <c r="I1194" s="67"/>
      <c r="J1194" s="67"/>
      <c r="K1194" s="56"/>
      <c r="L1194" s="56"/>
      <c r="M1194" s="66" t="str">
        <f aca="false">IF(OR($D1194="",$F1194=""),"",IF(COUNTIFS($D$7:$D1194,$D1194,$F$7:$F1194,$F1194)=1,1,0))</f>
        <v/>
      </c>
    </row>
    <row r="1195" customFormat="false" ht="15" hidden="false" customHeight="true" outlineLevel="0" collapsed="false">
      <c r="A1195" s="38"/>
      <c r="B1195" s="38"/>
      <c r="C1195" s="38"/>
      <c r="D1195" s="38"/>
      <c r="E1195" s="13"/>
      <c r="F1195" s="13"/>
      <c r="G1195" s="67"/>
      <c r="H1195" s="67"/>
      <c r="I1195" s="67"/>
      <c r="J1195" s="67"/>
      <c r="K1195" s="38"/>
      <c r="L1195" s="38"/>
      <c r="M1195" s="66" t="str">
        <f aca="false">IF(OR($D1195="",$F1195=""),"",IF(COUNTIFS($D$7:$D1195,$D1195,$F$7:$F1195,$F1195)=1,1,0))</f>
        <v/>
      </c>
    </row>
    <row r="1196" customFormat="false" ht="15" hidden="false" customHeight="true" outlineLevel="0" collapsed="false">
      <c r="A1196" s="56"/>
      <c r="B1196" s="56"/>
      <c r="C1196" s="56"/>
      <c r="D1196" s="56"/>
      <c r="E1196" s="16"/>
      <c r="F1196" s="16"/>
      <c r="G1196" s="67"/>
      <c r="H1196" s="67"/>
      <c r="I1196" s="67"/>
      <c r="J1196" s="67"/>
      <c r="K1196" s="56"/>
      <c r="L1196" s="56"/>
      <c r="M1196" s="66" t="str">
        <f aca="false">IF(OR($D1196="",$F1196=""),"",IF(COUNTIFS($D$7:$D1196,$D1196,$F$7:$F1196,$F1196)=1,1,0))</f>
        <v/>
      </c>
    </row>
    <row r="1197" customFormat="false" ht="15" hidden="false" customHeight="true" outlineLevel="0" collapsed="false">
      <c r="A1197" s="38"/>
      <c r="B1197" s="38"/>
      <c r="C1197" s="38"/>
      <c r="D1197" s="38"/>
      <c r="E1197" s="13"/>
      <c r="F1197" s="13"/>
      <c r="G1197" s="67"/>
      <c r="H1197" s="67"/>
      <c r="I1197" s="67"/>
      <c r="J1197" s="67"/>
      <c r="K1197" s="38"/>
      <c r="L1197" s="38"/>
      <c r="M1197" s="66" t="str">
        <f aca="false">IF(OR($D1197="",$F1197=""),"",IF(COUNTIFS($D$7:$D1197,$D1197,$F$7:$F1197,$F1197)=1,1,0))</f>
        <v/>
      </c>
    </row>
    <row r="1198" customFormat="false" ht="15" hidden="false" customHeight="true" outlineLevel="0" collapsed="false">
      <c r="A1198" s="56"/>
      <c r="B1198" s="56"/>
      <c r="C1198" s="56"/>
      <c r="D1198" s="56"/>
      <c r="E1198" s="16"/>
      <c r="F1198" s="16"/>
      <c r="G1198" s="67"/>
      <c r="H1198" s="67"/>
      <c r="I1198" s="67"/>
      <c r="J1198" s="67"/>
      <c r="K1198" s="56"/>
      <c r="L1198" s="56"/>
      <c r="M1198" s="66" t="str">
        <f aca="false">IF(OR($D1198="",$F1198=""),"",IF(COUNTIFS($D$7:$D1198,$D1198,$F$7:$F1198,$F1198)=1,1,0))</f>
        <v/>
      </c>
    </row>
    <row r="1199" customFormat="false" ht="15" hidden="false" customHeight="true" outlineLevel="0" collapsed="false">
      <c r="A1199" s="38"/>
      <c r="B1199" s="38"/>
      <c r="C1199" s="38"/>
      <c r="D1199" s="38"/>
      <c r="E1199" s="13"/>
      <c r="F1199" s="13"/>
      <c r="G1199" s="67"/>
      <c r="H1199" s="67"/>
      <c r="I1199" s="67"/>
      <c r="J1199" s="67"/>
      <c r="K1199" s="38"/>
      <c r="L1199" s="38"/>
      <c r="M1199" s="66" t="str">
        <f aca="false">IF(OR($D1199="",$F1199=""),"",IF(COUNTIFS($D$7:$D1199,$D1199,$F$7:$F1199,$F1199)=1,1,0))</f>
        <v/>
      </c>
    </row>
    <row r="1200" customFormat="false" ht="15" hidden="false" customHeight="true" outlineLevel="0" collapsed="false">
      <c r="A1200" s="56"/>
      <c r="B1200" s="56"/>
      <c r="C1200" s="56"/>
      <c r="D1200" s="56"/>
      <c r="E1200" s="16"/>
      <c r="F1200" s="16"/>
      <c r="G1200" s="67"/>
      <c r="H1200" s="67"/>
      <c r="I1200" s="67"/>
      <c r="J1200" s="67"/>
      <c r="K1200" s="56"/>
      <c r="L1200" s="56"/>
      <c r="M1200" s="66" t="str">
        <f aca="false">IF(OR($D1200="",$F1200=""),"",IF(COUNTIFS($D$7:$D1200,$D1200,$F$7:$F1200,$F1200)=1,1,0))</f>
        <v/>
      </c>
    </row>
  </sheetData>
  <mergeCells count="4">
    <mergeCell ref="A1:L1"/>
    <mergeCell ref="A2:L2"/>
    <mergeCell ref="A3:L3"/>
    <mergeCell ref="A4:L4"/>
  </mergeCells>
  <dataValidations count="5">
    <dataValidation allowBlank="true" error="Ingrese un promedio entre 1.0 y 5.0" errorStyle="stop" operator="between" showDropDown="false" showErrorMessage="false" showInputMessage="false" sqref="G7:J1200" type="decimal">
      <formula1>1</formula1>
      <formula2>5</formula2>
    </dataValidation>
    <dataValidation allowBlank="true" errorStyle="stop" operator="between" showDropDown="false" showErrorMessage="false" showInputMessage="false" sqref="C7:C1200" type="list">
      <formula1>"A,B,C,D"</formula1>
      <formula2>0</formula2>
    </dataValidation>
    <dataValidation allowBlank="true" errorStyle="stop" operator="between" showDropDown="false" showErrorMessage="false" showInputMessage="false" sqref="B7:B1200" type="list">
      <formula1>"Dia,Noche"</formula1>
      <formula2>0</formula2>
    </dataValidation>
    <dataValidation allowBlank="true" errorStyle="stop" operator="between" showDropDown="false" showErrorMessage="false" showInputMessage="false" sqref="K7:K1200" type="list">
      <formula1>"Contenedores,Granel solido,Carga fraccionada,Big bags,Sin nave"</formula1>
      <formula2>0</formula2>
    </dataValidation>
    <dataValidation allowBlank="true" errorStyle="stop" operator="between" showDropDown="false" showErrorMessage="false" showInputMessage="false" sqref="L7:L12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7" min="4" style="1" width="9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4" min="11" style="1" width="9"/>
    <col collapsed="false" customWidth="true" hidden="false" outlineLevel="0" max="15" min="15" style="1" width="10"/>
    <col collapsed="false" customWidth="true" hidden="false" outlineLevel="0" max="16" min="16" style="1" width="14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" hidden="false" customHeight="true" outlineLevel="0" collapsed="false">
      <c r="A2" s="3" t="s">
        <v>196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3.5" hidden="false" customHeight="true" outlineLevel="0" collapsed="false">
      <c r="A4" s="5" t="s">
        <v>197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5" hidden="false" customHeight="true" outlineLevel="0" collapsed="false">
      <c r="A5" s="9" t="s">
        <v>198</v>
      </c>
      <c r="B5" s="9"/>
      <c r="C5" s="25" t="s">
        <v>199</v>
      </c>
      <c r="D5" s="25"/>
      <c r="E5" s="68" t="s">
        <v>200</v>
      </c>
      <c r="F5" s="68"/>
      <c r="G5" s="68"/>
      <c r="H5" s="68"/>
      <c r="I5" s="69" t="s">
        <v>201</v>
      </c>
      <c r="J5" s="69"/>
      <c r="K5" s="70" t="s">
        <v>202</v>
      </c>
      <c r="L5" s="70"/>
      <c r="M5" s="70"/>
      <c r="N5" s="70"/>
      <c r="O5" s="71" t="s">
        <v>203</v>
      </c>
      <c r="P5" s="71"/>
    </row>
    <row r="6" customFormat="false" ht="30" hidden="false" customHeight="true" outlineLevel="0" collapsed="false">
      <c r="A6" s="25" t="s">
        <v>204</v>
      </c>
      <c r="B6" s="25" t="s">
        <v>181</v>
      </c>
      <c r="C6" s="25" t="s">
        <v>205</v>
      </c>
      <c r="D6" s="25" t="s">
        <v>206</v>
      </c>
      <c r="E6" s="25" t="s">
        <v>23</v>
      </c>
      <c r="F6" s="25" t="s">
        <v>27</v>
      </c>
      <c r="G6" s="25" t="s">
        <v>55</v>
      </c>
      <c r="H6" s="25" t="s">
        <v>20</v>
      </c>
      <c r="I6" s="25" t="s">
        <v>207</v>
      </c>
      <c r="J6" s="25" t="s">
        <v>208</v>
      </c>
      <c r="K6" s="25" t="s">
        <v>209</v>
      </c>
      <c r="L6" s="25" t="s">
        <v>210</v>
      </c>
      <c r="M6" s="25" t="s">
        <v>211</v>
      </c>
      <c r="N6" s="25" t="s">
        <v>113</v>
      </c>
      <c r="O6" s="25" t="s">
        <v>212</v>
      </c>
      <c r="P6" s="25" t="s">
        <v>213</v>
      </c>
    </row>
    <row r="7" customFormat="false" ht="21.75" hidden="false" customHeight="true" outlineLevel="0" collapsed="false">
      <c r="A7" s="72" t="s">
        <v>192</v>
      </c>
      <c r="B7" s="13" t="str">
        <f aca="false">IFERROR(INDEX('Registro de Fichas'!$E$7:$E$1200,MATCH($A7,'Registro de Fichas'!$D$7:$D$1200,0)),"")</f>
        <v>Juan Perez (EJEMPLO)</v>
      </c>
      <c r="C7" s="26" t="n">
        <f aca="false">COUNTIF('Registro de Fichas'!$D$7:$D$1200,$A7)</f>
        <v>1</v>
      </c>
      <c r="D7" s="72"/>
      <c r="E7" s="73" t="n">
        <f aca="false">IFERROR(AVERAGEIF('Registro de Fichas'!$D$7:$D$1200,$A7,'Registro de Fichas'!$G$7:$G$1200),"")</f>
        <v>5</v>
      </c>
      <c r="F7" s="73" t="n">
        <f aca="false">IFERROR(AVERAGEIF('Registro de Fichas'!$D$7:$D$1200,$A7,'Registro de Fichas'!$H$7:$H$1200),"")</f>
        <v>4</v>
      </c>
      <c r="G7" s="73" t="n">
        <f aca="false">IFERROR(AVERAGEIF('Registro de Fichas'!$D$7:$D$1200,$A7,'Registro de Fichas'!$I$7:$I$1200),"")</f>
        <v>4</v>
      </c>
      <c r="H7" s="73" t="n">
        <f aca="false">IFERROR(AVERAGEIF('Registro de Fichas'!$D$7:$D$1200,$A7,'Registro de Fichas'!$J$7:$J$1200),"")</f>
        <v>3.67</v>
      </c>
      <c r="I7" s="38" t="str">
        <f aca="false">IF($C7=0,"",IF($C7&gt;=Parametros!$B$27,"OK","FALTAN "&amp;(Parametros!$B$27-$C7)))</f>
        <v>FALTAN 7</v>
      </c>
      <c r="J7" s="38" t="n">
        <f aca="false">IF($C7=0,"",SUMIF('Registro de Fichas'!$D$7:$D$1200,$A7,'Registro de Fichas'!$M$7:$M$1200))</f>
        <v>1</v>
      </c>
      <c r="K7" s="26" t="n">
        <f aca="false">COUNTIFS('Registro de Fichas'!$D$7:$D$1200,$A7,'Registro de Fichas'!$K$7:$K$1200,"Contenedores")</f>
        <v>1</v>
      </c>
      <c r="L7" s="26" t="n">
        <f aca="false">COUNTIFS('Registro de Fichas'!$D$7:$D$1200,$A7,'Registro de Fichas'!$K$7:$K$1200,"Granel solido")</f>
        <v>0</v>
      </c>
      <c r="M7" s="26" t="n">
        <f aca="false">COUNTIFS('Registro de Fichas'!$D$7:$D$1200,$A7,'Registro de Fichas'!$K$7:$K$1200,"Carga fraccionada")</f>
        <v>0</v>
      </c>
      <c r="N7" s="26" t="n">
        <f aca="false">COUNTIFS('Registro de Fichas'!$D$7:$D$1200,$A7,'Registro de Fichas'!$K$7:$K$1200,"Big bags")</f>
        <v>0</v>
      </c>
      <c r="O7" s="26" t="n">
        <f aca="false">COUNTIFS('Registro de Fichas'!$D$7:$D$1200,$A7,'Registro de Fichas'!$L$7:$L$1200,"Si")</f>
        <v>0</v>
      </c>
      <c r="P7" s="23" t="str">
        <f aca="false">IF($C7=0,"",IF($C7&lt;Parametros!$B$27,"EVIDENCIA INSUFICIENTE",IF(AND($D7&lt;&gt;"",$C7&lt;$D7*Parametros!$B$28),"BAJO % MUESTREO",IF($J7&lt;Parametros!$B$31,"POCOS EVALUADORES","VALIDA"))))</f>
        <v>EVIDENCIA INSUFICIENTE</v>
      </c>
    </row>
    <row r="8" customFormat="false" ht="15" hidden="false" customHeight="true" outlineLevel="0" collapsed="false">
      <c r="A8" s="72"/>
      <c r="B8" s="16" t="str">
        <f aca="false">IFERROR(INDEX('Registro de Fichas'!$E$7:$E$1200,MATCH($A8,'Registro de Fichas'!$D$7:$D$1200,0)),"")</f>
        <v/>
      </c>
      <c r="C8" s="74" t="n">
        <f aca="false">COUNTIF('Registro de Fichas'!$D$7:$D$1200,$A8)</f>
        <v>0</v>
      </c>
      <c r="D8" s="72"/>
      <c r="E8" s="73" t="str">
        <f aca="false">IFERROR(AVERAGEIF('Registro de Fichas'!$D$7:$D$1200,$A8,'Registro de Fichas'!$G$7:$G$1200),"")</f>
        <v/>
      </c>
      <c r="F8" s="73" t="str">
        <f aca="false">IFERROR(AVERAGEIF('Registro de Fichas'!$D$7:$D$1200,$A8,'Registro de Fichas'!$H$7:$H$1200),"")</f>
        <v/>
      </c>
      <c r="G8" s="73" t="str">
        <f aca="false">IFERROR(AVERAGEIF('Registro de Fichas'!$D$7:$D$1200,$A8,'Registro de Fichas'!$I$7:$I$1200),"")</f>
        <v/>
      </c>
      <c r="H8" s="73" t="str">
        <f aca="false">IFERROR(AVERAGEIF('Registro de Fichas'!$D$7:$D$1200,$A8,'Registro de Fichas'!$J$7:$J$1200),"")</f>
        <v/>
      </c>
      <c r="I8" s="56" t="str">
        <f aca="false">IF($C8=0,"",IF($C8&gt;=Parametros!$B$27,"OK","FALTAN "&amp;(Parametros!$B$27-$C8)))</f>
        <v/>
      </c>
      <c r="J8" s="56" t="str">
        <f aca="false">IF($C8=0,"",SUMIF('Registro de Fichas'!$D$7:$D$1200,$A8,'Registro de Fichas'!$M$7:$M$1200))</f>
        <v/>
      </c>
      <c r="K8" s="74" t="n">
        <f aca="false">COUNTIFS('Registro de Fichas'!$D$7:$D$1200,$A8,'Registro de Fichas'!$K$7:$K$1200,"Contenedores")</f>
        <v>0</v>
      </c>
      <c r="L8" s="74" t="n">
        <f aca="false">COUNTIFS('Registro de Fichas'!$D$7:$D$1200,$A8,'Registro de Fichas'!$K$7:$K$1200,"Granel solido")</f>
        <v>0</v>
      </c>
      <c r="M8" s="74" t="n">
        <f aca="false">COUNTIFS('Registro de Fichas'!$D$7:$D$1200,$A8,'Registro de Fichas'!$K$7:$K$1200,"Carga fraccionada")</f>
        <v>0</v>
      </c>
      <c r="N8" s="74" t="n">
        <f aca="false">COUNTIFS('Registro de Fichas'!$D$7:$D$1200,$A8,'Registro de Fichas'!$K$7:$K$1200,"Big bags")</f>
        <v>0</v>
      </c>
      <c r="O8" s="74" t="n">
        <f aca="false">COUNTIFS('Registro de Fichas'!$D$7:$D$1200,$A8,'Registro de Fichas'!$L$7:$L$1200,"Si")</f>
        <v>0</v>
      </c>
      <c r="P8" s="75" t="str">
        <f aca="false">IF($C8=0,"",IF($C8&lt;Parametros!$B$27,"EVIDENCIA INSUFICIENTE",IF(AND($D8&lt;&gt;"",$C8&lt;$D8*Parametros!$B$28),"BAJO % MUESTREO",IF($J8&lt;Parametros!$B$31,"POCOS EVALUADORES","VALIDA"))))</f>
        <v/>
      </c>
    </row>
    <row r="9" customFormat="false" ht="15" hidden="false" customHeight="true" outlineLevel="0" collapsed="false">
      <c r="A9" s="72"/>
      <c r="B9" s="13" t="str">
        <f aca="false">IFERROR(INDEX('Registro de Fichas'!$E$7:$E$1200,MATCH($A9,'Registro de Fichas'!$D$7:$D$1200,0)),"")</f>
        <v/>
      </c>
      <c r="C9" s="26" t="n">
        <f aca="false">COUNTIF('Registro de Fichas'!$D$7:$D$1200,$A9)</f>
        <v>0</v>
      </c>
      <c r="D9" s="72"/>
      <c r="E9" s="73" t="str">
        <f aca="false">IFERROR(AVERAGEIF('Registro de Fichas'!$D$7:$D$1200,$A9,'Registro de Fichas'!$G$7:$G$1200),"")</f>
        <v/>
      </c>
      <c r="F9" s="73" t="str">
        <f aca="false">IFERROR(AVERAGEIF('Registro de Fichas'!$D$7:$D$1200,$A9,'Registro de Fichas'!$H$7:$H$1200),"")</f>
        <v/>
      </c>
      <c r="G9" s="73" t="str">
        <f aca="false">IFERROR(AVERAGEIF('Registro de Fichas'!$D$7:$D$1200,$A9,'Registro de Fichas'!$I$7:$I$1200),"")</f>
        <v/>
      </c>
      <c r="H9" s="73" t="str">
        <f aca="false">IFERROR(AVERAGEIF('Registro de Fichas'!$D$7:$D$1200,$A9,'Registro de Fichas'!$J$7:$J$1200),"")</f>
        <v/>
      </c>
      <c r="I9" s="38" t="str">
        <f aca="false">IF($C9=0,"",IF($C9&gt;=Parametros!$B$27,"OK","FALTAN "&amp;(Parametros!$B$27-$C9)))</f>
        <v/>
      </c>
      <c r="J9" s="38" t="str">
        <f aca="false">IF($C9=0,"",SUMIF('Registro de Fichas'!$D$7:$D$1200,$A9,'Registro de Fichas'!$M$7:$M$1200))</f>
        <v/>
      </c>
      <c r="K9" s="26" t="n">
        <f aca="false">COUNTIFS('Registro de Fichas'!$D$7:$D$1200,$A9,'Registro de Fichas'!$K$7:$K$1200,"Contenedores")</f>
        <v>0</v>
      </c>
      <c r="L9" s="26" t="n">
        <f aca="false">COUNTIFS('Registro de Fichas'!$D$7:$D$1200,$A9,'Registro de Fichas'!$K$7:$K$1200,"Granel solido")</f>
        <v>0</v>
      </c>
      <c r="M9" s="26" t="n">
        <f aca="false">COUNTIFS('Registro de Fichas'!$D$7:$D$1200,$A9,'Registro de Fichas'!$K$7:$K$1200,"Carga fraccionada")</f>
        <v>0</v>
      </c>
      <c r="N9" s="26" t="n">
        <f aca="false">COUNTIFS('Registro de Fichas'!$D$7:$D$1200,$A9,'Registro de Fichas'!$K$7:$K$1200,"Big bags")</f>
        <v>0</v>
      </c>
      <c r="O9" s="26" t="n">
        <f aca="false">COUNTIFS('Registro de Fichas'!$D$7:$D$1200,$A9,'Registro de Fichas'!$L$7:$L$1200,"Si")</f>
        <v>0</v>
      </c>
      <c r="P9" s="23" t="str">
        <f aca="false">IF($C9=0,"",IF($C9&lt;Parametros!$B$27,"EVIDENCIA INSUFICIENTE",IF(AND($D9&lt;&gt;"",$C9&lt;$D9*Parametros!$B$28),"BAJO % MUESTREO",IF($J9&lt;Parametros!$B$31,"POCOS EVALUADORES","VALIDA"))))</f>
        <v/>
      </c>
    </row>
    <row r="10" customFormat="false" ht="15" hidden="false" customHeight="true" outlineLevel="0" collapsed="false">
      <c r="A10" s="72"/>
      <c r="B10" s="16" t="str">
        <f aca="false">IFERROR(INDEX('Registro de Fichas'!$E$7:$E$1200,MATCH($A10,'Registro de Fichas'!$D$7:$D$1200,0)),"")</f>
        <v/>
      </c>
      <c r="C10" s="74" t="n">
        <f aca="false">COUNTIF('Registro de Fichas'!$D$7:$D$1200,$A10)</f>
        <v>0</v>
      </c>
      <c r="D10" s="72"/>
      <c r="E10" s="73" t="str">
        <f aca="false">IFERROR(AVERAGEIF('Registro de Fichas'!$D$7:$D$1200,$A10,'Registro de Fichas'!$G$7:$G$1200),"")</f>
        <v/>
      </c>
      <c r="F10" s="73" t="str">
        <f aca="false">IFERROR(AVERAGEIF('Registro de Fichas'!$D$7:$D$1200,$A10,'Registro de Fichas'!$H$7:$H$1200),"")</f>
        <v/>
      </c>
      <c r="G10" s="73" t="str">
        <f aca="false">IFERROR(AVERAGEIF('Registro de Fichas'!$D$7:$D$1200,$A10,'Registro de Fichas'!$I$7:$I$1200),"")</f>
        <v/>
      </c>
      <c r="H10" s="73" t="str">
        <f aca="false">IFERROR(AVERAGEIF('Registro de Fichas'!$D$7:$D$1200,$A10,'Registro de Fichas'!$J$7:$J$1200),"")</f>
        <v/>
      </c>
      <c r="I10" s="56" t="str">
        <f aca="false">IF($C10=0,"",IF($C10&gt;=Parametros!$B$27,"OK","FALTAN "&amp;(Parametros!$B$27-$C10)))</f>
        <v/>
      </c>
      <c r="J10" s="56" t="str">
        <f aca="false">IF($C10=0,"",SUMIF('Registro de Fichas'!$D$7:$D$1200,$A10,'Registro de Fichas'!$M$7:$M$1200))</f>
        <v/>
      </c>
      <c r="K10" s="74" t="n">
        <f aca="false">COUNTIFS('Registro de Fichas'!$D$7:$D$1200,$A10,'Registro de Fichas'!$K$7:$K$1200,"Contenedores")</f>
        <v>0</v>
      </c>
      <c r="L10" s="74" t="n">
        <f aca="false">COUNTIFS('Registro de Fichas'!$D$7:$D$1200,$A10,'Registro de Fichas'!$K$7:$K$1200,"Granel solido")</f>
        <v>0</v>
      </c>
      <c r="M10" s="74" t="n">
        <f aca="false">COUNTIFS('Registro de Fichas'!$D$7:$D$1200,$A10,'Registro de Fichas'!$K$7:$K$1200,"Carga fraccionada")</f>
        <v>0</v>
      </c>
      <c r="N10" s="74" t="n">
        <f aca="false">COUNTIFS('Registro de Fichas'!$D$7:$D$1200,$A10,'Registro de Fichas'!$K$7:$K$1200,"Big bags")</f>
        <v>0</v>
      </c>
      <c r="O10" s="74" t="n">
        <f aca="false">COUNTIFS('Registro de Fichas'!$D$7:$D$1200,$A10,'Registro de Fichas'!$L$7:$L$1200,"Si")</f>
        <v>0</v>
      </c>
      <c r="P10" s="75" t="str">
        <f aca="false">IF($C10=0,"",IF($C10&lt;Parametros!$B$27,"EVIDENCIA INSUFICIENTE",IF(AND($D10&lt;&gt;"",$C10&lt;$D10*Parametros!$B$28),"BAJO % MUESTREO",IF($J10&lt;Parametros!$B$31,"POCOS EVALUADORES","VALIDA"))))</f>
        <v/>
      </c>
    </row>
    <row r="11" customFormat="false" ht="15" hidden="false" customHeight="true" outlineLevel="0" collapsed="false">
      <c r="A11" s="72"/>
      <c r="B11" s="13" t="str">
        <f aca="false">IFERROR(INDEX('Registro de Fichas'!$E$7:$E$1200,MATCH($A11,'Registro de Fichas'!$D$7:$D$1200,0)),"")</f>
        <v/>
      </c>
      <c r="C11" s="26" t="n">
        <f aca="false">COUNTIF('Registro de Fichas'!$D$7:$D$1200,$A11)</f>
        <v>0</v>
      </c>
      <c r="D11" s="72"/>
      <c r="E11" s="73" t="str">
        <f aca="false">IFERROR(AVERAGEIF('Registro de Fichas'!$D$7:$D$1200,$A11,'Registro de Fichas'!$G$7:$G$1200),"")</f>
        <v/>
      </c>
      <c r="F11" s="73" t="str">
        <f aca="false">IFERROR(AVERAGEIF('Registro de Fichas'!$D$7:$D$1200,$A11,'Registro de Fichas'!$H$7:$H$1200),"")</f>
        <v/>
      </c>
      <c r="G11" s="73" t="str">
        <f aca="false">IFERROR(AVERAGEIF('Registro de Fichas'!$D$7:$D$1200,$A11,'Registro de Fichas'!$I$7:$I$1200),"")</f>
        <v/>
      </c>
      <c r="H11" s="73" t="str">
        <f aca="false">IFERROR(AVERAGEIF('Registro de Fichas'!$D$7:$D$1200,$A11,'Registro de Fichas'!$J$7:$J$1200),"")</f>
        <v/>
      </c>
      <c r="I11" s="38" t="str">
        <f aca="false">IF($C11=0,"",IF($C11&gt;=Parametros!$B$27,"OK","FALTAN "&amp;(Parametros!$B$27-$C11)))</f>
        <v/>
      </c>
      <c r="J11" s="38" t="str">
        <f aca="false">IF($C11=0,"",SUMIF('Registro de Fichas'!$D$7:$D$1200,$A11,'Registro de Fichas'!$M$7:$M$1200))</f>
        <v/>
      </c>
      <c r="K11" s="26" t="n">
        <f aca="false">COUNTIFS('Registro de Fichas'!$D$7:$D$1200,$A11,'Registro de Fichas'!$K$7:$K$1200,"Contenedores")</f>
        <v>0</v>
      </c>
      <c r="L11" s="26" t="n">
        <f aca="false">COUNTIFS('Registro de Fichas'!$D$7:$D$1200,$A11,'Registro de Fichas'!$K$7:$K$1200,"Granel solido")</f>
        <v>0</v>
      </c>
      <c r="M11" s="26" t="n">
        <f aca="false">COUNTIFS('Registro de Fichas'!$D$7:$D$1200,$A11,'Registro de Fichas'!$K$7:$K$1200,"Carga fraccionada")</f>
        <v>0</v>
      </c>
      <c r="N11" s="26" t="n">
        <f aca="false">COUNTIFS('Registro de Fichas'!$D$7:$D$1200,$A11,'Registro de Fichas'!$K$7:$K$1200,"Big bags")</f>
        <v>0</v>
      </c>
      <c r="O11" s="26" t="n">
        <f aca="false">COUNTIFS('Registro de Fichas'!$D$7:$D$1200,$A11,'Registro de Fichas'!$L$7:$L$1200,"Si")</f>
        <v>0</v>
      </c>
      <c r="P11" s="23" t="str">
        <f aca="false">IF($C11=0,"",IF($C11&lt;Parametros!$B$27,"EVIDENCIA INSUFICIENTE",IF(AND($D11&lt;&gt;"",$C11&lt;$D11*Parametros!$B$28),"BAJO % MUESTREO",IF($J11&lt;Parametros!$B$31,"POCOS EVALUADORES","VALIDA"))))</f>
        <v/>
      </c>
    </row>
    <row r="12" customFormat="false" ht="15" hidden="false" customHeight="true" outlineLevel="0" collapsed="false">
      <c r="A12" s="72"/>
      <c r="B12" s="16" t="str">
        <f aca="false">IFERROR(INDEX('Registro de Fichas'!$E$7:$E$1200,MATCH($A12,'Registro de Fichas'!$D$7:$D$1200,0)),"")</f>
        <v/>
      </c>
      <c r="C12" s="74" t="n">
        <f aca="false">COUNTIF('Registro de Fichas'!$D$7:$D$1200,$A12)</f>
        <v>0</v>
      </c>
      <c r="D12" s="72"/>
      <c r="E12" s="73" t="str">
        <f aca="false">IFERROR(AVERAGEIF('Registro de Fichas'!$D$7:$D$1200,$A12,'Registro de Fichas'!$G$7:$G$1200),"")</f>
        <v/>
      </c>
      <c r="F12" s="73" t="str">
        <f aca="false">IFERROR(AVERAGEIF('Registro de Fichas'!$D$7:$D$1200,$A12,'Registro de Fichas'!$H$7:$H$1200),"")</f>
        <v/>
      </c>
      <c r="G12" s="73" t="str">
        <f aca="false">IFERROR(AVERAGEIF('Registro de Fichas'!$D$7:$D$1200,$A12,'Registro de Fichas'!$I$7:$I$1200),"")</f>
        <v/>
      </c>
      <c r="H12" s="73" t="str">
        <f aca="false">IFERROR(AVERAGEIF('Registro de Fichas'!$D$7:$D$1200,$A12,'Registro de Fichas'!$J$7:$J$1200),"")</f>
        <v/>
      </c>
      <c r="I12" s="56" t="str">
        <f aca="false">IF($C12=0,"",IF($C12&gt;=Parametros!$B$27,"OK","FALTAN "&amp;(Parametros!$B$27-$C12)))</f>
        <v/>
      </c>
      <c r="J12" s="56" t="str">
        <f aca="false">IF($C12=0,"",SUMIF('Registro de Fichas'!$D$7:$D$1200,$A12,'Registro de Fichas'!$M$7:$M$1200))</f>
        <v/>
      </c>
      <c r="K12" s="74" t="n">
        <f aca="false">COUNTIFS('Registro de Fichas'!$D$7:$D$1200,$A12,'Registro de Fichas'!$K$7:$K$1200,"Contenedores")</f>
        <v>0</v>
      </c>
      <c r="L12" s="74" t="n">
        <f aca="false">COUNTIFS('Registro de Fichas'!$D$7:$D$1200,$A12,'Registro de Fichas'!$K$7:$K$1200,"Granel solido")</f>
        <v>0</v>
      </c>
      <c r="M12" s="74" t="n">
        <f aca="false">COUNTIFS('Registro de Fichas'!$D$7:$D$1200,$A12,'Registro de Fichas'!$K$7:$K$1200,"Carga fraccionada")</f>
        <v>0</v>
      </c>
      <c r="N12" s="74" t="n">
        <f aca="false">COUNTIFS('Registro de Fichas'!$D$7:$D$1200,$A12,'Registro de Fichas'!$K$7:$K$1200,"Big bags")</f>
        <v>0</v>
      </c>
      <c r="O12" s="74" t="n">
        <f aca="false">COUNTIFS('Registro de Fichas'!$D$7:$D$1200,$A12,'Registro de Fichas'!$L$7:$L$1200,"Si")</f>
        <v>0</v>
      </c>
      <c r="P12" s="75" t="str">
        <f aca="false">IF($C12=0,"",IF($C12&lt;Parametros!$B$27,"EVIDENCIA INSUFICIENTE",IF(AND($D12&lt;&gt;"",$C12&lt;$D12*Parametros!$B$28),"BAJO % MUESTREO",IF($J12&lt;Parametros!$B$31,"POCOS EVALUADORES","VALIDA"))))</f>
        <v/>
      </c>
    </row>
    <row r="13" customFormat="false" ht="15" hidden="false" customHeight="true" outlineLevel="0" collapsed="false">
      <c r="A13" s="72"/>
      <c r="B13" s="13" t="str">
        <f aca="false">IFERROR(INDEX('Registro de Fichas'!$E$7:$E$1200,MATCH($A13,'Registro de Fichas'!$D$7:$D$1200,0)),"")</f>
        <v/>
      </c>
      <c r="C13" s="26" t="n">
        <f aca="false">COUNTIF('Registro de Fichas'!$D$7:$D$1200,$A13)</f>
        <v>0</v>
      </c>
      <c r="D13" s="72"/>
      <c r="E13" s="73" t="str">
        <f aca="false">IFERROR(AVERAGEIF('Registro de Fichas'!$D$7:$D$1200,$A13,'Registro de Fichas'!$G$7:$G$1200),"")</f>
        <v/>
      </c>
      <c r="F13" s="73" t="str">
        <f aca="false">IFERROR(AVERAGEIF('Registro de Fichas'!$D$7:$D$1200,$A13,'Registro de Fichas'!$H$7:$H$1200),"")</f>
        <v/>
      </c>
      <c r="G13" s="73" t="str">
        <f aca="false">IFERROR(AVERAGEIF('Registro de Fichas'!$D$7:$D$1200,$A13,'Registro de Fichas'!$I$7:$I$1200),"")</f>
        <v/>
      </c>
      <c r="H13" s="73" t="str">
        <f aca="false">IFERROR(AVERAGEIF('Registro de Fichas'!$D$7:$D$1200,$A13,'Registro de Fichas'!$J$7:$J$1200),"")</f>
        <v/>
      </c>
      <c r="I13" s="38" t="str">
        <f aca="false">IF($C13=0,"",IF($C13&gt;=Parametros!$B$27,"OK","FALTAN "&amp;(Parametros!$B$27-$C13)))</f>
        <v/>
      </c>
      <c r="J13" s="38" t="str">
        <f aca="false">IF($C13=0,"",SUMIF('Registro de Fichas'!$D$7:$D$1200,$A13,'Registro de Fichas'!$M$7:$M$1200))</f>
        <v/>
      </c>
      <c r="K13" s="26" t="n">
        <f aca="false">COUNTIFS('Registro de Fichas'!$D$7:$D$1200,$A13,'Registro de Fichas'!$K$7:$K$1200,"Contenedores")</f>
        <v>0</v>
      </c>
      <c r="L13" s="26" t="n">
        <f aca="false">COUNTIFS('Registro de Fichas'!$D$7:$D$1200,$A13,'Registro de Fichas'!$K$7:$K$1200,"Granel solido")</f>
        <v>0</v>
      </c>
      <c r="M13" s="26" t="n">
        <f aca="false">COUNTIFS('Registro de Fichas'!$D$7:$D$1200,$A13,'Registro de Fichas'!$K$7:$K$1200,"Carga fraccionada")</f>
        <v>0</v>
      </c>
      <c r="N13" s="26" t="n">
        <f aca="false">COUNTIFS('Registro de Fichas'!$D$7:$D$1200,$A13,'Registro de Fichas'!$K$7:$K$1200,"Big bags")</f>
        <v>0</v>
      </c>
      <c r="O13" s="26" t="n">
        <f aca="false">COUNTIFS('Registro de Fichas'!$D$7:$D$1200,$A13,'Registro de Fichas'!$L$7:$L$1200,"Si")</f>
        <v>0</v>
      </c>
      <c r="P13" s="23" t="str">
        <f aca="false">IF($C13=0,"",IF($C13&lt;Parametros!$B$27,"EVIDENCIA INSUFICIENTE",IF(AND($D13&lt;&gt;"",$C13&lt;$D13*Parametros!$B$28),"BAJO % MUESTREO",IF($J13&lt;Parametros!$B$31,"POCOS EVALUADORES","VALIDA"))))</f>
        <v/>
      </c>
    </row>
    <row r="14" customFormat="false" ht="15" hidden="false" customHeight="true" outlineLevel="0" collapsed="false">
      <c r="A14" s="72"/>
      <c r="B14" s="16" t="str">
        <f aca="false">IFERROR(INDEX('Registro de Fichas'!$E$7:$E$1200,MATCH($A14,'Registro de Fichas'!$D$7:$D$1200,0)),"")</f>
        <v/>
      </c>
      <c r="C14" s="74" t="n">
        <f aca="false">COUNTIF('Registro de Fichas'!$D$7:$D$1200,$A14)</f>
        <v>0</v>
      </c>
      <c r="D14" s="72"/>
      <c r="E14" s="73" t="str">
        <f aca="false">IFERROR(AVERAGEIF('Registro de Fichas'!$D$7:$D$1200,$A14,'Registro de Fichas'!$G$7:$G$1200),"")</f>
        <v/>
      </c>
      <c r="F14" s="73" t="str">
        <f aca="false">IFERROR(AVERAGEIF('Registro de Fichas'!$D$7:$D$1200,$A14,'Registro de Fichas'!$H$7:$H$1200),"")</f>
        <v/>
      </c>
      <c r="G14" s="73" t="str">
        <f aca="false">IFERROR(AVERAGEIF('Registro de Fichas'!$D$7:$D$1200,$A14,'Registro de Fichas'!$I$7:$I$1200),"")</f>
        <v/>
      </c>
      <c r="H14" s="73" t="str">
        <f aca="false">IFERROR(AVERAGEIF('Registro de Fichas'!$D$7:$D$1200,$A14,'Registro de Fichas'!$J$7:$J$1200),"")</f>
        <v/>
      </c>
      <c r="I14" s="56" t="str">
        <f aca="false">IF($C14=0,"",IF($C14&gt;=Parametros!$B$27,"OK","FALTAN "&amp;(Parametros!$B$27-$C14)))</f>
        <v/>
      </c>
      <c r="J14" s="56" t="str">
        <f aca="false">IF($C14=0,"",SUMIF('Registro de Fichas'!$D$7:$D$1200,$A14,'Registro de Fichas'!$M$7:$M$1200))</f>
        <v/>
      </c>
      <c r="K14" s="74" t="n">
        <f aca="false">COUNTIFS('Registro de Fichas'!$D$7:$D$1200,$A14,'Registro de Fichas'!$K$7:$K$1200,"Contenedores")</f>
        <v>0</v>
      </c>
      <c r="L14" s="74" t="n">
        <f aca="false">COUNTIFS('Registro de Fichas'!$D$7:$D$1200,$A14,'Registro de Fichas'!$K$7:$K$1200,"Granel solido")</f>
        <v>0</v>
      </c>
      <c r="M14" s="74" t="n">
        <f aca="false">COUNTIFS('Registro de Fichas'!$D$7:$D$1200,$A14,'Registro de Fichas'!$K$7:$K$1200,"Carga fraccionada")</f>
        <v>0</v>
      </c>
      <c r="N14" s="74" t="n">
        <f aca="false">COUNTIFS('Registro de Fichas'!$D$7:$D$1200,$A14,'Registro de Fichas'!$K$7:$K$1200,"Big bags")</f>
        <v>0</v>
      </c>
      <c r="O14" s="74" t="n">
        <f aca="false">COUNTIFS('Registro de Fichas'!$D$7:$D$1200,$A14,'Registro de Fichas'!$L$7:$L$1200,"Si")</f>
        <v>0</v>
      </c>
      <c r="P14" s="75" t="str">
        <f aca="false">IF($C14=0,"",IF($C14&lt;Parametros!$B$27,"EVIDENCIA INSUFICIENTE",IF(AND($D14&lt;&gt;"",$C14&lt;$D14*Parametros!$B$28),"BAJO % MUESTREO",IF($J14&lt;Parametros!$B$31,"POCOS EVALUADORES","VALIDA"))))</f>
        <v/>
      </c>
    </row>
    <row r="15" customFormat="false" ht="15" hidden="false" customHeight="true" outlineLevel="0" collapsed="false">
      <c r="A15" s="72"/>
      <c r="B15" s="13" t="str">
        <f aca="false">IFERROR(INDEX('Registro de Fichas'!$E$7:$E$1200,MATCH($A15,'Registro de Fichas'!$D$7:$D$1200,0)),"")</f>
        <v/>
      </c>
      <c r="C15" s="26" t="n">
        <f aca="false">COUNTIF('Registro de Fichas'!$D$7:$D$1200,$A15)</f>
        <v>0</v>
      </c>
      <c r="D15" s="72"/>
      <c r="E15" s="73" t="str">
        <f aca="false">IFERROR(AVERAGEIF('Registro de Fichas'!$D$7:$D$1200,$A15,'Registro de Fichas'!$G$7:$G$1200),"")</f>
        <v/>
      </c>
      <c r="F15" s="73" t="str">
        <f aca="false">IFERROR(AVERAGEIF('Registro de Fichas'!$D$7:$D$1200,$A15,'Registro de Fichas'!$H$7:$H$1200),"")</f>
        <v/>
      </c>
      <c r="G15" s="73" t="str">
        <f aca="false">IFERROR(AVERAGEIF('Registro de Fichas'!$D$7:$D$1200,$A15,'Registro de Fichas'!$I$7:$I$1200),"")</f>
        <v/>
      </c>
      <c r="H15" s="73" t="str">
        <f aca="false">IFERROR(AVERAGEIF('Registro de Fichas'!$D$7:$D$1200,$A15,'Registro de Fichas'!$J$7:$J$1200),"")</f>
        <v/>
      </c>
      <c r="I15" s="38" t="str">
        <f aca="false">IF($C15=0,"",IF($C15&gt;=Parametros!$B$27,"OK","FALTAN "&amp;(Parametros!$B$27-$C15)))</f>
        <v/>
      </c>
      <c r="J15" s="38" t="str">
        <f aca="false">IF($C15=0,"",SUMIF('Registro de Fichas'!$D$7:$D$1200,$A15,'Registro de Fichas'!$M$7:$M$1200))</f>
        <v/>
      </c>
      <c r="K15" s="26" t="n">
        <f aca="false">COUNTIFS('Registro de Fichas'!$D$7:$D$1200,$A15,'Registro de Fichas'!$K$7:$K$1200,"Contenedores")</f>
        <v>0</v>
      </c>
      <c r="L15" s="26" t="n">
        <f aca="false">COUNTIFS('Registro de Fichas'!$D$7:$D$1200,$A15,'Registro de Fichas'!$K$7:$K$1200,"Granel solido")</f>
        <v>0</v>
      </c>
      <c r="M15" s="26" t="n">
        <f aca="false">COUNTIFS('Registro de Fichas'!$D$7:$D$1200,$A15,'Registro de Fichas'!$K$7:$K$1200,"Carga fraccionada")</f>
        <v>0</v>
      </c>
      <c r="N15" s="26" t="n">
        <f aca="false">COUNTIFS('Registro de Fichas'!$D$7:$D$1200,$A15,'Registro de Fichas'!$K$7:$K$1200,"Big bags")</f>
        <v>0</v>
      </c>
      <c r="O15" s="26" t="n">
        <f aca="false">COUNTIFS('Registro de Fichas'!$D$7:$D$1200,$A15,'Registro de Fichas'!$L$7:$L$1200,"Si")</f>
        <v>0</v>
      </c>
      <c r="P15" s="23" t="str">
        <f aca="false">IF($C15=0,"",IF($C15&lt;Parametros!$B$27,"EVIDENCIA INSUFICIENTE",IF(AND($D15&lt;&gt;"",$C15&lt;$D15*Parametros!$B$28),"BAJO % MUESTREO",IF($J15&lt;Parametros!$B$31,"POCOS EVALUADORES","VALIDA"))))</f>
        <v/>
      </c>
    </row>
    <row r="16" customFormat="false" ht="15" hidden="false" customHeight="true" outlineLevel="0" collapsed="false">
      <c r="A16" s="72"/>
      <c r="B16" s="16" t="str">
        <f aca="false">IFERROR(INDEX('Registro de Fichas'!$E$7:$E$1200,MATCH($A16,'Registro de Fichas'!$D$7:$D$1200,0)),"")</f>
        <v/>
      </c>
      <c r="C16" s="74" t="n">
        <f aca="false">COUNTIF('Registro de Fichas'!$D$7:$D$1200,$A16)</f>
        <v>0</v>
      </c>
      <c r="D16" s="72"/>
      <c r="E16" s="73" t="str">
        <f aca="false">IFERROR(AVERAGEIF('Registro de Fichas'!$D$7:$D$1200,$A16,'Registro de Fichas'!$G$7:$G$1200),"")</f>
        <v/>
      </c>
      <c r="F16" s="73" t="str">
        <f aca="false">IFERROR(AVERAGEIF('Registro de Fichas'!$D$7:$D$1200,$A16,'Registro de Fichas'!$H$7:$H$1200),"")</f>
        <v/>
      </c>
      <c r="G16" s="73" t="str">
        <f aca="false">IFERROR(AVERAGEIF('Registro de Fichas'!$D$7:$D$1200,$A16,'Registro de Fichas'!$I$7:$I$1200),"")</f>
        <v/>
      </c>
      <c r="H16" s="73" t="str">
        <f aca="false">IFERROR(AVERAGEIF('Registro de Fichas'!$D$7:$D$1200,$A16,'Registro de Fichas'!$J$7:$J$1200),"")</f>
        <v/>
      </c>
      <c r="I16" s="56" t="str">
        <f aca="false">IF($C16=0,"",IF($C16&gt;=Parametros!$B$27,"OK","FALTAN "&amp;(Parametros!$B$27-$C16)))</f>
        <v/>
      </c>
      <c r="J16" s="56" t="str">
        <f aca="false">IF($C16=0,"",SUMIF('Registro de Fichas'!$D$7:$D$1200,$A16,'Registro de Fichas'!$M$7:$M$1200))</f>
        <v/>
      </c>
      <c r="K16" s="74" t="n">
        <f aca="false">COUNTIFS('Registro de Fichas'!$D$7:$D$1200,$A16,'Registro de Fichas'!$K$7:$K$1200,"Contenedores")</f>
        <v>0</v>
      </c>
      <c r="L16" s="74" t="n">
        <f aca="false">COUNTIFS('Registro de Fichas'!$D$7:$D$1200,$A16,'Registro de Fichas'!$K$7:$K$1200,"Granel solido")</f>
        <v>0</v>
      </c>
      <c r="M16" s="74" t="n">
        <f aca="false">COUNTIFS('Registro de Fichas'!$D$7:$D$1200,$A16,'Registro de Fichas'!$K$7:$K$1200,"Carga fraccionada")</f>
        <v>0</v>
      </c>
      <c r="N16" s="74" t="n">
        <f aca="false">COUNTIFS('Registro de Fichas'!$D$7:$D$1200,$A16,'Registro de Fichas'!$K$7:$K$1200,"Big bags")</f>
        <v>0</v>
      </c>
      <c r="O16" s="74" t="n">
        <f aca="false">COUNTIFS('Registro de Fichas'!$D$7:$D$1200,$A16,'Registro de Fichas'!$L$7:$L$1200,"Si")</f>
        <v>0</v>
      </c>
      <c r="P16" s="75" t="str">
        <f aca="false">IF($C16=0,"",IF($C16&lt;Parametros!$B$27,"EVIDENCIA INSUFICIENTE",IF(AND($D16&lt;&gt;"",$C16&lt;$D16*Parametros!$B$28),"BAJO % MUESTREO",IF($J16&lt;Parametros!$B$31,"POCOS EVALUADORES","VALIDA"))))</f>
        <v/>
      </c>
    </row>
    <row r="17" customFormat="false" ht="15" hidden="false" customHeight="true" outlineLevel="0" collapsed="false">
      <c r="A17" s="72"/>
      <c r="B17" s="13" t="str">
        <f aca="false">IFERROR(INDEX('Registro de Fichas'!$E$7:$E$1200,MATCH($A17,'Registro de Fichas'!$D$7:$D$1200,0)),"")</f>
        <v/>
      </c>
      <c r="C17" s="26" t="n">
        <f aca="false">COUNTIF('Registro de Fichas'!$D$7:$D$1200,$A17)</f>
        <v>0</v>
      </c>
      <c r="D17" s="72"/>
      <c r="E17" s="73" t="str">
        <f aca="false">IFERROR(AVERAGEIF('Registro de Fichas'!$D$7:$D$1200,$A17,'Registro de Fichas'!$G$7:$G$1200),"")</f>
        <v/>
      </c>
      <c r="F17" s="73" t="str">
        <f aca="false">IFERROR(AVERAGEIF('Registro de Fichas'!$D$7:$D$1200,$A17,'Registro de Fichas'!$H$7:$H$1200),"")</f>
        <v/>
      </c>
      <c r="G17" s="73" t="str">
        <f aca="false">IFERROR(AVERAGEIF('Registro de Fichas'!$D$7:$D$1200,$A17,'Registro de Fichas'!$I$7:$I$1200),"")</f>
        <v/>
      </c>
      <c r="H17" s="73" t="str">
        <f aca="false">IFERROR(AVERAGEIF('Registro de Fichas'!$D$7:$D$1200,$A17,'Registro de Fichas'!$J$7:$J$1200),"")</f>
        <v/>
      </c>
      <c r="I17" s="38" t="str">
        <f aca="false">IF($C17=0,"",IF($C17&gt;=Parametros!$B$27,"OK","FALTAN "&amp;(Parametros!$B$27-$C17)))</f>
        <v/>
      </c>
      <c r="J17" s="38" t="str">
        <f aca="false">IF($C17=0,"",SUMIF('Registro de Fichas'!$D$7:$D$1200,$A17,'Registro de Fichas'!$M$7:$M$1200))</f>
        <v/>
      </c>
      <c r="K17" s="26" t="n">
        <f aca="false">COUNTIFS('Registro de Fichas'!$D$7:$D$1200,$A17,'Registro de Fichas'!$K$7:$K$1200,"Contenedores")</f>
        <v>0</v>
      </c>
      <c r="L17" s="26" t="n">
        <f aca="false">COUNTIFS('Registro de Fichas'!$D$7:$D$1200,$A17,'Registro de Fichas'!$K$7:$K$1200,"Granel solido")</f>
        <v>0</v>
      </c>
      <c r="M17" s="26" t="n">
        <f aca="false">COUNTIFS('Registro de Fichas'!$D$7:$D$1200,$A17,'Registro de Fichas'!$K$7:$K$1200,"Carga fraccionada")</f>
        <v>0</v>
      </c>
      <c r="N17" s="26" t="n">
        <f aca="false">COUNTIFS('Registro de Fichas'!$D$7:$D$1200,$A17,'Registro de Fichas'!$K$7:$K$1200,"Big bags")</f>
        <v>0</v>
      </c>
      <c r="O17" s="26" t="n">
        <f aca="false">COUNTIFS('Registro de Fichas'!$D$7:$D$1200,$A17,'Registro de Fichas'!$L$7:$L$1200,"Si")</f>
        <v>0</v>
      </c>
      <c r="P17" s="23" t="str">
        <f aca="false">IF($C17=0,"",IF($C17&lt;Parametros!$B$27,"EVIDENCIA INSUFICIENTE",IF(AND($D17&lt;&gt;"",$C17&lt;$D17*Parametros!$B$28),"BAJO % MUESTREO",IF($J17&lt;Parametros!$B$31,"POCOS EVALUADORES","VALIDA"))))</f>
        <v/>
      </c>
    </row>
    <row r="18" customFormat="false" ht="15" hidden="false" customHeight="true" outlineLevel="0" collapsed="false">
      <c r="A18" s="72"/>
      <c r="B18" s="16" t="str">
        <f aca="false">IFERROR(INDEX('Registro de Fichas'!$E$7:$E$1200,MATCH($A18,'Registro de Fichas'!$D$7:$D$1200,0)),"")</f>
        <v/>
      </c>
      <c r="C18" s="74" t="n">
        <f aca="false">COUNTIF('Registro de Fichas'!$D$7:$D$1200,$A18)</f>
        <v>0</v>
      </c>
      <c r="D18" s="72"/>
      <c r="E18" s="73" t="str">
        <f aca="false">IFERROR(AVERAGEIF('Registro de Fichas'!$D$7:$D$1200,$A18,'Registro de Fichas'!$G$7:$G$1200),"")</f>
        <v/>
      </c>
      <c r="F18" s="73" t="str">
        <f aca="false">IFERROR(AVERAGEIF('Registro de Fichas'!$D$7:$D$1200,$A18,'Registro de Fichas'!$H$7:$H$1200),"")</f>
        <v/>
      </c>
      <c r="G18" s="73" t="str">
        <f aca="false">IFERROR(AVERAGEIF('Registro de Fichas'!$D$7:$D$1200,$A18,'Registro de Fichas'!$I$7:$I$1200),"")</f>
        <v/>
      </c>
      <c r="H18" s="73" t="str">
        <f aca="false">IFERROR(AVERAGEIF('Registro de Fichas'!$D$7:$D$1200,$A18,'Registro de Fichas'!$J$7:$J$1200),"")</f>
        <v/>
      </c>
      <c r="I18" s="56" t="str">
        <f aca="false">IF($C18=0,"",IF($C18&gt;=Parametros!$B$27,"OK","FALTAN "&amp;(Parametros!$B$27-$C18)))</f>
        <v/>
      </c>
      <c r="J18" s="56" t="str">
        <f aca="false">IF($C18=0,"",SUMIF('Registro de Fichas'!$D$7:$D$1200,$A18,'Registro de Fichas'!$M$7:$M$1200))</f>
        <v/>
      </c>
      <c r="K18" s="74" t="n">
        <f aca="false">COUNTIFS('Registro de Fichas'!$D$7:$D$1200,$A18,'Registro de Fichas'!$K$7:$K$1200,"Contenedores")</f>
        <v>0</v>
      </c>
      <c r="L18" s="74" t="n">
        <f aca="false">COUNTIFS('Registro de Fichas'!$D$7:$D$1200,$A18,'Registro de Fichas'!$K$7:$K$1200,"Granel solido")</f>
        <v>0</v>
      </c>
      <c r="M18" s="74" t="n">
        <f aca="false">COUNTIFS('Registro de Fichas'!$D$7:$D$1200,$A18,'Registro de Fichas'!$K$7:$K$1200,"Carga fraccionada")</f>
        <v>0</v>
      </c>
      <c r="N18" s="74" t="n">
        <f aca="false">COUNTIFS('Registro de Fichas'!$D$7:$D$1200,$A18,'Registro de Fichas'!$K$7:$K$1200,"Big bags")</f>
        <v>0</v>
      </c>
      <c r="O18" s="74" t="n">
        <f aca="false">COUNTIFS('Registro de Fichas'!$D$7:$D$1200,$A18,'Registro de Fichas'!$L$7:$L$1200,"Si")</f>
        <v>0</v>
      </c>
      <c r="P18" s="75" t="str">
        <f aca="false">IF($C18=0,"",IF($C18&lt;Parametros!$B$27,"EVIDENCIA INSUFICIENTE",IF(AND($D18&lt;&gt;"",$C18&lt;$D18*Parametros!$B$28),"BAJO % MUESTREO",IF($J18&lt;Parametros!$B$31,"POCOS EVALUADORES","VALIDA"))))</f>
        <v/>
      </c>
    </row>
    <row r="19" customFormat="false" ht="15" hidden="false" customHeight="true" outlineLevel="0" collapsed="false">
      <c r="A19" s="72"/>
      <c r="B19" s="13" t="str">
        <f aca="false">IFERROR(INDEX('Registro de Fichas'!$E$7:$E$1200,MATCH($A19,'Registro de Fichas'!$D$7:$D$1200,0)),"")</f>
        <v/>
      </c>
      <c r="C19" s="26" t="n">
        <f aca="false">COUNTIF('Registro de Fichas'!$D$7:$D$1200,$A19)</f>
        <v>0</v>
      </c>
      <c r="D19" s="72"/>
      <c r="E19" s="73" t="str">
        <f aca="false">IFERROR(AVERAGEIF('Registro de Fichas'!$D$7:$D$1200,$A19,'Registro de Fichas'!$G$7:$G$1200),"")</f>
        <v/>
      </c>
      <c r="F19" s="73" t="str">
        <f aca="false">IFERROR(AVERAGEIF('Registro de Fichas'!$D$7:$D$1200,$A19,'Registro de Fichas'!$H$7:$H$1200),"")</f>
        <v/>
      </c>
      <c r="G19" s="73" t="str">
        <f aca="false">IFERROR(AVERAGEIF('Registro de Fichas'!$D$7:$D$1200,$A19,'Registro de Fichas'!$I$7:$I$1200),"")</f>
        <v/>
      </c>
      <c r="H19" s="73" t="str">
        <f aca="false">IFERROR(AVERAGEIF('Registro de Fichas'!$D$7:$D$1200,$A19,'Registro de Fichas'!$J$7:$J$1200),"")</f>
        <v/>
      </c>
      <c r="I19" s="38" t="str">
        <f aca="false">IF($C19=0,"",IF($C19&gt;=Parametros!$B$27,"OK","FALTAN "&amp;(Parametros!$B$27-$C19)))</f>
        <v/>
      </c>
      <c r="J19" s="38" t="str">
        <f aca="false">IF($C19=0,"",SUMIF('Registro de Fichas'!$D$7:$D$1200,$A19,'Registro de Fichas'!$M$7:$M$1200))</f>
        <v/>
      </c>
      <c r="K19" s="26" t="n">
        <f aca="false">COUNTIFS('Registro de Fichas'!$D$7:$D$1200,$A19,'Registro de Fichas'!$K$7:$K$1200,"Contenedores")</f>
        <v>0</v>
      </c>
      <c r="L19" s="26" t="n">
        <f aca="false">COUNTIFS('Registro de Fichas'!$D$7:$D$1200,$A19,'Registro de Fichas'!$K$7:$K$1200,"Granel solido")</f>
        <v>0</v>
      </c>
      <c r="M19" s="26" t="n">
        <f aca="false">COUNTIFS('Registro de Fichas'!$D$7:$D$1200,$A19,'Registro de Fichas'!$K$7:$K$1200,"Carga fraccionada")</f>
        <v>0</v>
      </c>
      <c r="N19" s="26" t="n">
        <f aca="false">COUNTIFS('Registro de Fichas'!$D$7:$D$1200,$A19,'Registro de Fichas'!$K$7:$K$1200,"Big bags")</f>
        <v>0</v>
      </c>
      <c r="O19" s="26" t="n">
        <f aca="false">COUNTIFS('Registro de Fichas'!$D$7:$D$1200,$A19,'Registro de Fichas'!$L$7:$L$1200,"Si")</f>
        <v>0</v>
      </c>
      <c r="P19" s="23" t="str">
        <f aca="false">IF($C19=0,"",IF($C19&lt;Parametros!$B$27,"EVIDENCIA INSUFICIENTE",IF(AND($D19&lt;&gt;"",$C19&lt;$D19*Parametros!$B$28),"BAJO % MUESTREO",IF($J19&lt;Parametros!$B$31,"POCOS EVALUADORES","VALIDA"))))</f>
        <v/>
      </c>
    </row>
    <row r="20" customFormat="false" ht="15" hidden="false" customHeight="true" outlineLevel="0" collapsed="false">
      <c r="A20" s="72"/>
      <c r="B20" s="16" t="str">
        <f aca="false">IFERROR(INDEX('Registro de Fichas'!$E$7:$E$1200,MATCH($A20,'Registro de Fichas'!$D$7:$D$1200,0)),"")</f>
        <v/>
      </c>
      <c r="C20" s="74" t="n">
        <f aca="false">COUNTIF('Registro de Fichas'!$D$7:$D$1200,$A20)</f>
        <v>0</v>
      </c>
      <c r="D20" s="72"/>
      <c r="E20" s="73" t="str">
        <f aca="false">IFERROR(AVERAGEIF('Registro de Fichas'!$D$7:$D$1200,$A20,'Registro de Fichas'!$G$7:$G$1200),"")</f>
        <v/>
      </c>
      <c r="F20" s="73" t="str">
        <f aca="false">IFERROR(AVERAGEIF('Registro de Fichas'!$D$7:$D$1200,$A20,'Registro de Fichas'!$H$7:$H$1200),"")</f>
        <v/>
      </c>
      <c r="G20" s="73" t="str">
        <f aca="false">IFERROR(AVERAGEIF('Registro de Fichas'!$D$7:$D$1200,$A20,'Registro de Fichas'!$I$7:$I$1200),"")</f>
        <v/>
      </c>
      <c r="H20" s="73" t="str">
        <f aca="false">IFERROR(AVERAGEIF('Registro de Fichas'!$D$7:$D$1200,$A20,'Registro de Fichas'!$J$7:$J$1200),"")</f>
        <v/>
      </c>
      <c r="I20" s="56" t="str">
        <f aca="false">IF($C20=0,"",IF($C20&gt;=Parametros!$B$27,"OK","FALTAN "&amp;(Parametros!$B$27-$C20)))</f>
        <v/>
      </c>
      <c r="J20" s="56" t="str">
        <f aca="false">IF($C20=0,"",SUMIF('Registro de Fichas'!$D$7:$D$1200,$A20,'Registro de Fichas'!$M$7:$M$1200))</f>
        <v/>
      </c>
      <c r="K20" s="74" t="n">
        <f aca="false">COUNTIFS('Registro de Fichas'!$D$7:$D$1200,$A20,'Registro de Fichas'!$K$7:$K$1200,"Contenedores")</f>
        <v>0</v>
      </c>
      <c r="L20" s="74" t="n">
        <f aca="false">COUNTIFS('Registro de Fichas'!$D$7:$D$1200,$A20,'Registro de Fichas'!$K$7:$K$1200,"Granel solido")</f>
        <v>0</v>
      </c>
      <c r="M20" s="74" t="n">
        <f aca="false">COUNTIFS('Registro de Fichas'!$D$7:$D$1200,$A20,'Registro de Fichas'!$K$7:$K$1200,"Carga fraccionada")</f>
        <v>0</v>
      </c>
      <c r="N20" s="74" t="n">
        <f aca="false">COUNTIFS('Registro de Fichas'!$D$7:$D$1200,$A20,'Registro de Fichas'!$K$7:$K$1200,"Big bags")</f>
        <v>0</v>
      </c>
      <c r="O20" s="74" t="n">
        <f aca="false">COUNTIFS('Registro de Fichas'!$D$7:$D$1200,$A20,'Registro de Fichas'!$L$7:$L$1200,"Si")</f>
        <v>0</v>
      </c>
      <c r="P20" s="75" t="str">
        <f aca="false">IF($C20=0,"",IF($C20&lt;Parametros!$B$27,"EVIDENCIA INSUFICIENTE",IF(AND($D20&lt;&gt;"",$C20&lt;$D20*Parametros!$B$28),"BAJO % MUESTREO",IF($J20&lt;Parametros!$B$31,"POCOS EVALUADORES","VALIDA"))))</f>
        <v/>
      </c>
    </row>
    <row r="21" customFormat="false" ht="15" hidden="false" customHeight="true" outlineLevel="0" collapsed="false">
      <c r="A21" s="72"/>
      <c r="B21" s="13" t="str">
        <f aca="false">IFERROR(INDEX('Registro de Fichas'!$E$7:$E$1200,MATCH($A21,'Registro de Fichas'!$D$7:$D$1200,0)),"")</f>
        <v/>
      </c>
      <c r="C21" s="26" t="n">
        <f aca="false">COUNTIF('Registro de Fichas'!$D$7:$D$1200,$A21)</f>
        <v>0</v>
      </c>
      <c r="D21" s="72"/>
      <c r="E21" s="73" t="str">
        <f aca="false">IFERROR(AVERAGEIF('Registro de Fichas'!$D$7:$D$1200,$A21,'Registro de Fichas'!$G$7:$G$1200),"")</f>
        <v/>
      </c>
      <c r="F21" s="73" t="str">
        <f aca="false">IFERROR(AVERAGEIF('Registro de Fichas'!$D$7:$D$1200,$A21,'Registro de Fichas'!$H$7:$H$1200),"")</f>
        <v/>
      </c>
      <c r="G21" s="73" t="str">
        <f aca="false">IFERROR(AVERAGEIF('Registro de Fichas'!$D$7:$D$1200,$A21,'Registro de Fichas'!$I$7:$I$1200),"")</f>
        <v/>
      </c>
      <c r="H21" s="73" t="str">
        <f aca="false">IFERROR(AVERAGEIF('Registro de Fichas'!$D$7:$D$1200,$A21,'Registro de Fichas'!$J$7:$J$1200),"")</f>
        <v/>
      </c>
      <c r="I21" s="38" t="str">
        <f aca="false">IF($C21=0,"",IF($C21&gt;=Parametros!$B$27,"OK","FALTAN "&amp;(Parametros!$B$27-$C21)))</f>
        <v/>
      </c>
      <c r="J21" s="38" t="str">
        <f aca="false">IF($C21=0,"",SUMIF('Registro de Fichas'!$D$7:$D$1200,$A21,'Registro de Fichas'!$M$7:$M$1200))</f>
        <v/>
      </c>
      <c r="K21" s="26" t="n">
        <f aca="false">COUNTIFS('Registro de Fichas'!$D$7:$D$1200,$A21,'Registro de Fichas'!$K$7:$K$1200,"Contenedores")</f>
        <v>0</v>
      </c>
      <c r="L21" s="26" t="n">
        <f aca="false">COUNTIFS('Registro de Fichas'!$D$7:$D$1200,$A21,'Registro de Fichas'!$K$7:$K$1200,"Granel solido")</f>
        <v>0</v>
      </c>
      <c r="M21" s="26" t="n">
        <f aca="false">COUNTIFS('Registro de Fichas'!$D$7:$D$1200,$A21,'Registro de Fichas'!$K$7:$K$1200,"Carga fraccionada")</f>
        <v>0</v>
      </c>
      <c r="N21" s="26" t="n">
        <f aca="false">COUNTIFS('Registro de Fichas'!$D$7:$D$1200,$A21,'Registro de Fichas'!$K$7:$K$1200,"Big bags")</f>
        <v>0</v>
      </c>
      <c r="O21" s="26" t="n">
        <f aca="false">COUNTIFS('Registro de Fichas'!$D$7:$D$1200,$A21,'Registro de Fichas'!$L$7:$L$1200,"Si")</f>
        <v>0</v>
      </c>
      <c r="P21" s="23" t="str">
        <f aca="false">IF($C21=0,"",IF($C21&lt;Parametros!$B$27,"EVIDENCIA INSUFICIENTE",IF(AND($D21&lt;&gt;"",$C21&lt;$D21*Parametros!$B$28),"BAJO % MUESTREO",IF($J21&lt;Parametros!$B$31,"POCOS EVALUADORES","VALIDA"))))</f>
        <v/>
      </c>
    </row>
    <row r="22" customFormat="false" ht="15" hidden="false" customHeight="true" outlineLevel="0" collapsed="false">
      <c r="A22" s="72"/>
      <c r="B22" s="16" t="str">
        <f aca="false">IFERROR(INDEX('Registro de Fichas'!$E$7:$E$1200,MATCH($A22,'Registro de Fichas'!$D$7:$D$1200,0)),"")</f>
        <v/>
      </c>
      <c r="C22" s="74" t="n">
        <f aca="false">COUNTIF('Registro de Fichas'!$D$7:$D$1200,$A22)</f>
        <v>0</v>
      </c>
      <c r="D22" s="72"/>
      <c r="E22" s="73" t="str">
        <f aca="false">IFERROR(AVERAGEIF('Registro de Fichas'!$D$7:$D$1200,$A22,'Registro de Fichas'!$G$7:$G$1200),"")</f>
        <v/>
      </c>
      <c r="F22" s="73" t="str">
        <f aca="false">IFERROR(AVERAGEIF('Registro de Fichas'!$D$7:$D$1200,$A22,'Registro de Fichas'!$H$7:$H$1200),"")</f>
        <v/>
      </c>
      <c r="G22" s="73" t="str">
        <f aca="false">IFERROR(AVERAGEIF('Registro de Fichas'!$D$7:$D$1200,$A22,'Registro de Fichas'!$I$7:$I$1200),"")</f>
        <v/>
      </c>
      <c r="H22" s="73" t="str">
        <f aca="false">IFERROR(AVERAGEIF('Registro de Fichas'!$D$7:$D$1200,$A22,'Registro de Fichas'!$J$7:$J$1200),"")</f>
        <v/>
      </c>
      <c r="I22" s="56" t="str">
        <f aca="false">IF($C22=0,"",IF($C22&gt;=Parametros!$B$27,"OK","FALTAN "&amp;(Parametros!$B$27-$C22)))</f>
        <v/>
      </c>
      <c r="J22" s="56" t="str">
        <f aca="false">IF($C22=0,"",SUMIF('Registro de Fichas'!$D$7:$D$1200,$A22,'Registro de Fichas'!$M$7:$M$1200))</f>
        <v/>
      </c>
      <c r="K22" s="74" t="n">
        <f aca="false">COUNTIFS('Registro de Fichas'!$D$7:$D$1200,$A22,'Registro de Fichas'!$K$7:$K$1200,"Contenedores")</f>
        <v>0</v>
      </c>
      <c r="L22" s="74" t="n">
        <f aca="false">COUNTIFS('Registro de Fichas'!$D$7:$D$1200,$A22,'Registro de Fichas'!$K$7:$K$1200,"Granel solido")</f>
        <v>0</v>
      </c>
      <c r="M22" s="74" t="n">
        <f aca="false">COUNTIFS('Registro de Fichas'!$D$7:$D$1200,$A22,'Registro de Fichas'!$K$7:$K$1200,"Carga fraccionada")</f>
        <v>0</v>
      </c>
      <c r="N22" s="74" t="n">
        <f aca="false">COUNTIFS('Registro de Fichas'!$D$7:$D$1200,$A22,'Registro de Fichas'!$K$7:$K$1200,"Big bags")</f>
        <v>0</v>
      </c>
      <c r="O22" s="74" t="n">
        <f aca="false">COUNTIFS('Registro de Fichas'!$D$7:$D$1200,$A22,'Registro de Fichas'!$L$7:$L$1200,"Si")</f>
        <v>0</v>
      </c>
      <c r="P22" s="75" t="str">
        <f aca="false">IF($C22=0,"",IF($C22&lt;Parametros!$B$27,"EVIDENCIA INSUFICIENTE",IF(AND($D22&lt;&gt;"",$C22&lt;$D22*Parametros!$B$28),"BAJO % MUESTREO",IF($J22&lt;Parametros!$B$31,"POCOS EVALUADORES","VALIDA"))))</f>
        <v/>
      </c>
    </row>
    <row r="23" customFormat="false" ht="15" hidden="false" customHeight="true" outlineLevel="0" collapsed="false">
      <c r="A23" s="72"/>
      <c r="B23" s="13" t="str">
        <f aca="false">IFERROR(INDEX('Registro de Fichas'!$E$7:$E$1200,MATCH($A23,'Registro de Fichas'!$D$7:$D$1200,0)),"")</f>
        <v/>
      </c>
      <c r="C23" s="26" t="n">
        <f aca="false">COUNTIF('Registro de Fichas'!$D$7:$D$1200,$A23)</f>
        <v>0</v>
      </c>
      <c r="D23" s="72"/>
      <c r="E23" s="73" t="str">
        <f aca="false">IFERROR(AVERAGEIF('Registro de Fichas'!$D$7:$D$1200,$A23,'Registro de Fichas'!$G$7:$G$1200),"")</f>
        <v/>
      </c>
      <c r="F23" s="73" t="str">
        <f aca="false">IFERROR(AVERAGEIF('Registro de Fichas'!$D$7:$D$1200,$A23,'Registro de Fichas'!$H$7:$H$1200),"")</f>
        <v/>
      </c>
      <c r="G23" s="73" t="str">
        <f aca="false">IFERROR(AVERAGEIF('Registro de Fichas'!$D$7:$D$1200,$A23,'Registro de Fichas'!$I$7:$I$1200),"")</f>
        <v/>
      </c>
      <c r="H23" s="73" t="str">
        <f aca="false">IFERROR(AVERAGEIF('Registro de Fichas'!$D$7:$D$1200,$A23,'Registro de Fichas'!$J$7:$J$1200),"")</f>
        <v/>
      </c>
      <c r="I23" s="38" t="str">
        <f aca="false">IF($C23=0,"",IF($C23&gt;=Parametros!$B$27,"OK","FALTAN "&amp;(Parametros!$B$27-$C23)))</f>
        <v/>
      </c>
      <c r="J23" s="38" t="str">
        <f aca="false">IF($C23=0,"",SUMIF('Registro de Fichas'!$D$7:$D$1200,$A23,'Registro de Fichas'!$M$7:$M$1200))</f>
        <v/>
      </c>
      <c r="K23" s="26" t="n">
        <f aca="false">COUNTIFS('Registro de Fichas'!$D$7:$D$1200,$A23,'Registro de Fichas'!$K$7:$K$1200,"Contenedores")</f>
        <v>0</v>
      </c>
      <c r="L23" s="26" t="n">
        <f aca="false">COUNTIFS('Registro de Fichas'!$D$7:$D$1200,$A23,'Registro de Fichas'!$K$7:$K$1200,"Granel solido")</f>
        <v>0</v>
      </c>
      <c r="M23" s="26" t="n">
        <f aca="false">COUNTIFS('Registro de Fichas'!$D$7:$D$1200,$A23,'Registro de Fichas'!$K$7:$K$1200,"Carga fraccionada")</f>
        <v>0</v>
      </c>
      <c r="N23" s="26" t="n">
        <f aca="false">COUNTIFS('Registro de Fichas'!$D$7:$D$1200,$A23,'Registro de Fichas'!$K$7:$K$1200,"Big bags")</f>
        <v>0</v>
      </c>
      <c r="O23" s="26" t="n">
        <f aca="false">COUNTIFS('Registro de Fichas'!$D$7:$D$1200,$A23,'Registro de Fichas'!$L$7:$L$1200,"Si")</f>
        <v>0</v>
      </c>
      <c r="P23" s="23" t="str">
        <f aca="false">IF($C23=0,"",IF($C23&lt;Parametros!$B$27,"EVIDENCIA INSUFICIENTE",IF(AND($D23&lt;&gt;"",$C23&lt;$D23*Parametros!$B$28),"BAJO % MUESTREO",IF($J23&lt;Parametros!$B$31,"POCOS EVALUADORES","VALIDA"))))</f>
        <v/>
      </c>
    </row>
    <row r="24" customFormat="false" ht="15" hidden="false" customHeight="true" outlineLevel="0" collapsed="false">
      <c r="A24" s="72"/>
      <c r="B24" s="16" t="str">
        <f aca="false">IFERROR(INDEX('Registro de Fichas'!$E$7:$E$1200,MATCH($A24,'Registro de Fichas'!$D$7:$D$1200,0)),"")</f>
        <v/>
      </c>
      <c r="C24" s="74" t="n">
        <f aca="false">COUNTIF('Registro de Fichas'!$D$7:$D$1200,$A24)</f>
        <v>0</v>
      </c>
      <c r="D24" s="72"/>
      <c r="E24" s="73" t="str">
        <f aca="false">IFERROR(AVERAGEIF('Registro de Fichas'!$D$7:$D$1200,$A24,'Registro de Fichas'!$G$7:$G$1200),"")</f>
        <v/>
      </c>
      <c r="F24" s="73" t="str">
        <f aca="false">IFERROR(AVERAGEIF('Registro de Fichas'!$D$7:$D$1200,$A24,'Registro de Fichas'!$H$7:$H$1200),"")</f>
        <v/>
      </c>
      <c r="G24" s="73" t="str">
        <f aca="false">IFERROR(AVERAGEIF('Registro de Fichas'!$D$7:$D$1200,$A24,'Registro de Fichas'!$I$7:$I$1200),"")</f>
        <v/>
      </c>
      <c r="H24" s="73" t="str">
        <f aca="false">IFERROR(AVERAGEIF('Registro de Fichas'!$D$7:$D$1200,$A24,'Registro de Fichas'!$J$7:$J$1200),"")</f>
        <v/>
      </c>
      <c r="I24" s="56" t="str">
        <f aca="false">IF($C24=0,"",IF($C24&gt;=Parametros!$B$27,"OK","FALTAN "&amp;(Parametros!$B$27-$C24)))</f>
        <v/>
      </c>
      <c r="J24" s="56" t="str">
        <f aca="false">IF($C24=0,"",SUMIF('Registro de Fichas'!$D$7:$D$1200,$A24,'Registro de Fichas'!$M$7:$M$1200))</f>
        <v/>
      </c>
      <c r="K24" s="74" t="n">
        <f aca="false">COUNTIFS('Registro de Fichas'!$D$7:$D$1200,$A24,'Registro de Fichas'!$K$7:$K$1200,"Contenedores")</f>
        <v>0</v>
      </c>
      <c r="L24" s="74" t="n">
        <f aca="false">COUNTIFS('Registro de Fichas'!$D$7:$D$1200,$A24,'Registro de Fichas'!$K$7:$K$1200,"Granel solido")</f>
        <v>0</v>
      </c>
      <c r="M24" s="74" t="n">
        <f aca="false">COUNTIFS('Registro de Fichas'!$D$7:$D$1200,$A24,'Registro de Fichas'!$K$7:$K$1200,"Carga fraccionada")</f>
        <v>0</v>
      </c>
      <c r="N24" s="74" t="n">
        <f aca="false">COUNTIFS('Registro de Fichas'!$D$7:$D$1200,$A24,'Registro de Fichas'!$K$7:$K$1200,"Big bags")</f>
        <v>0</v>
      </c>
      <c r="O24" s="74" t="n">
        <f aca="false">COUNTIFS('Registro de Fichas'!$D$7:$D$1200,$A24,'Registro de Fichas'!$L$7:$L$1200,"Si")</f>
        <v>0</v>
      </c>
      <c r="P24" s="75" t="str">
        <f aca="false">IF($C24=0,"",IF($C24&lt;Parametros!$B$27,"EVIDENCIA INSUFICIENTE",IF(AND($D24&lt;&gt;"",$C24&lt;$D24*Parametros!$B$28),"BAJO % MUESTREO",IF($J24&lt;Parametros!$B$31,"POCOS EVALUADORES","VALIDA"))))</f>
        <v/>
      </c>
    </row>
    <row r="25" customFormat="false" ht="15" hidden="false" customHeight="true" outlineLevel="0" collapsed="false">
      <c r="A25" s="72"/>
      <c r="B25" s="13" t="str">
        <f aca="false">IFERROR(INDEX('Registro de Fichas'!$E$7:$E$1200,MATCH($A25,'Registro de Fichas'!$D$7:$D$1200,0)),"")</f>
        <v/>
      </c>
      <c r="C25" s="26" t="n">
        <f aca="false">COUNTIF('Registro de Fichas'!$D$7:$D$1200,$A25)</f>
        <v>0</v>
      </c>
      <c r="D25" s="72"/>
      <c r="E25" s="73" t="str">
        <f aca="false">IFERROR(AVERAGEIF('Registro de Fichas'!$D$7:$D$1200,$A25,'Registro de Fichas'!$G$7:$G$1200),"")</f>
        <v/>
      </c>
      <c r="F25" s="73" t="str">
        <f aca="false">IFERROR(AVERAGEIF('Registro de Fichas'!$D$7:$D$1200,$A25,'Registro de Fichas'!$H$7:$H$1200),"")</f>
        <v/>
      </c>
      <c r="G25" s="73" t="str">
        <f aca="false">IFERROR(AVERAGEIF('Registro de Fichas'!$D$7:$D$1200,$A25,'Registro de Fichas'!$I$7:$I$1200),"")</f>
        <v/>
      </c>
      <c r="H25" s="73" t="str">
        <f aca="false">IFERROR(AVERAGEIF('Registro de Fichas'!$D$7:$D$1200,$A25,'Registro de Fichas'!$J$7:$J$1200),"")</f>
        <v/>
      </c>
      <c r="I25" s="38" t="str">
        <f aca="false">IF($C25=0,"",IF($C25&gt;=Parametros!$B$27,"OK","FALTAN "&amp;(Parametros!$B$27-$C25)))</f>
        <v/>
      </c>
      <c r="J25" s="38" t="str">
        <f aca="false">IF($C25=0,"",SUMIF('Registro de Fichas'!$D$7:$D$1200,$A25,'Registro de Fichas'!$M$7:$M$1200))</f>
        <v/>
      </c>
      <c r="K25" s="26" t="n">
        <f aca="false">COUNTIFS('Registro de Fichas'!$D$7:$D$1200,$A25,'Registro de Fichas'!$K$7:$K$1200,"Contenedores")</f>
        <v>0</v>
      </c>
      <c r="L25" s="26" t="n">
        <f aca="false">COUNTIFS('Registro de Fichas'!$D$7:$D$1200,$A25,'Registro de Fichas'!$K$7:$K$1200,"Granel solido")</f>
        <v>0</v>
      </c>
      <c r="M25" s="26" t="n">
        <f aca="false">COUNTIFS('Registro de Fichas'!$D$7:$D$1200,$A25,'Registro de Fichas'!$K$7:$K$1200,"Carga fraccionada")</f>
        <v>0</v>
      </c>
      <c r="N25" s="26" t="n">
        <f aca="false">COUNTIFS('Registro de Fichas'!$D$7:$D$1200,$A25,'Registro de Fichas'!$K$7:$K$1200,"Big bags")</f>
        <v>0</v>
      </c>
      <c r="O25" s="26" t="n">
        <f aca="false">COUNTIFS('Registro de Fichas'!$D$7:$D$1200,$A25,'Registro de Fichas'!$L$7:$L$1200,"Si")</f>
        <v>0</v>
      </c>
      <c r="P25" s="23" t="str">
        <f aca="false">IF($C25=0,"",IF($C25&lt;Parametros!$B$27,"EVIDENCIA INSUFICIENTE",IF(AND($D25&lt;&gt;"",$C25&lt;$D25*Parametros!$B$28),"BAJO % MUESTREO",IF($J25&lt;Parametros!$B$31,"POCOS EVALUADORES","VALIDA"))))</f>
        <v/>
      </c>
    </row>
    <row r="26" customFormat="false" ht="15" hidden="false" customHeight="true" outlineLevel="0" collapsed="false">
      <c r="A26" s="72"/>
      <c r="B26" s="16" t="str">
        <f aca="false">IFERROR(INDEX('Registro de Fichas'!$E$7:$E$1200,MATCH($A26,'Registro de Fichas'!$D$7:$D$1200,0)),"")</f>
        <v/>
      </c>
      <c r="C26" s="74" t="n">
        <f aca="false">COUNTIF('Registro de Fichas'!$D$7:$D$1200,$A26)</f>
        <v>0</v>
      </c>
      <c r="D26" s="72"/>
      <c r="E26" s="73" t="str">
        <f aca="false">IFERROR(AVERAGEIF('Registro de Fichas'!$D$7:$D$1200,$A26,'Registro de Fichas'!$G$7:$G$1200),"")</f>
        <v/>
      </c>
      <c r="F26" s="73" t="str">
        <f aca="false">IFERROR(AVERAGEIF('Registro de Fichas'!$D$7:$D$1200,$A26,'Registro de Fichas'!$H$7:$H$1200),"")</f>
        <v/>
      </c>
      <c r="G26" s="73" t="str">
        <f aca="false">IFERROR(AVERAGEIF('Registro de Fichas'!$D$7:$D$1200,$A26,'Registro de Fichas'!$I$7:$I$1200),"")</f>
        <v/>
      </c>
      <c r="H26" s="73" t="str">
        <f aca="false">IFERROR(AVERAGEIF('Registro de Fichas'!$D$7:$D$1200,$A26,'Registro de Fichas'!$J$7:$J$1200),"")</f>
        <v/>
      </c>
      <c r="I26" s="56" t="str">
        <f aca="false">IF($C26=0,"",IF($C26&gt;=Parametros!$B$27,"OK","FALTAN "&amp;(Parametros!$B$27-$C26)))</f>
        <v/>
      </c>
      <c r="J26" s="56" t="str">
        <f aca="false">IF($C26=0,"",SUMIF('Registro de Fichas'!$D$7:$D$1200,$A26,'Registro de Fichas'!$M$7:$M$1200))</f>
        <v/>
      </c>
      <c r="K26" s="74" t="n">
        <f aca="false">COUNTIFS('Registro de Fichas'!$D$7:$D$1200,$A26,'Registro de Fichas'!$K$7:$K$1200,"Contenedores")</f>
        <v>0</v>
      </c>
      <c r="L26" s="74" t="n">
        <f aca="false">COUNTIFS('Registro de Fichas'!$D$7:$D$1200,$A26,'Registro de Fichas'!$K$7:$K$1200,"Granel solido")</f>
        <v>0</v>
      </c>
      <c r="M26" s="74" t="n">
        <f aca="false">COUNTIFS('Registro de Fichas'!$D$7:$D$1200,$A26,'Registro de Fichas'!$K$7:$K$1200,"Carga fraccionada")</f>
        <v>0</v>
      </c>
      <c r="N26" s="74" t="n">
        <f aca="false">COUNTIFS('Registro de Fichas'!$D$7:$D$1200,$A26,'Registro de Fichas'!$K$7:$K$1200,"Big bags")</f>
        <v>0</v>
      </c>
      <c r="O26" s="74" t="n">
        <f aca="false">COUNTIFS('Registro de Fichas'!$D$7:$D$1200,$A26,'Registro de Fichas'!$L$7:$L$1200,"Si")</f>
        <v>0</v>
      </c>
      <c r="P26" s="75" t="str">
        <f aca="false">IF($C26=0,"",IF($C26&lt;Parametros!$B$27,"EVIDENCIA INSUFICIENTE",IF(AND($D26&lt;&gt;"",$C26&lt;$D26*Parametros!$B$28),"BAJO % MUESTREO",IF($J26&lt;Parametros!$B$31,"POCOS EVALUADORES","VALIDA"))))</f>
        <v/>
      </c>
    </row>
    <row r="27" customFormat="false" ht="15" hidden="false" customHeight="true" outlineLevel="0" collapsed="false">
      <c r="A27" s="72"/>
      <c r="B27" s="13" t="str">
        <f aca="false">IFERROR(INDEX('Registro de Fichas'!$E$7:$E$1200,MATCH($A27,'Registro de Fichas'!$D$7:$D$1200,0)),"")</f>
        <v/>
      </c>
      <c r="C27" s="26" t="n">
        <f aca="false">COUNTIF('Registro de Fichas'!$D$7:$D$1200,$A27)</f>
        <v>0</v>
      </c>
      <c r="D27" s="72"/>
      <c r="E27" s="73" t="str">
        <f aca="false">IFERROR(AVERAGEIF('Registro de Fichas'!$D$7:$D$1200,$A27,'Registro de Fichas'!$G$7:$G$1200),"")</f>
        <v/>
      </c>
      <c r="F27" s="73" t="str">
        <f aca="false">IFERROR(AVERAGEIF('Registro de Fichas'!$D$7:$D$1200,$A27,'Registro de Fichas'!$H$7:$H$1200),"")</f>
        <v/>
      </c>
      <c r="G27" s="73" t="str">
        <f aca="false">IFERROR(AVERAGEIF('Registro de Fichas'!$D$7:$D$1200,$A27,'Registro de Fichas'!$I$7:$I$1200),"")</f>
        <v/>
      </c>
      <c r="H27" s="73" t="str">
        <f aca="false">IFERROR(AVERAGEIF('Registro de Fichas'!$D$7:$D$1200,$A27,'Registro de Fichas'!$J$7:$J$1200),"")</f>
        <v/>
      </c>
      <c r="I27" s="38" t="str">
        <f aca="false">IF($C27=0,"",IF($C27&gt;=Parametros!$B$27,"OK","FALTAN "&amp;(Parametros!$B$27-$C27)))</f>
        <v/>
      </c>
      <c r="J27" s="38" t="str">
        <f aca="false">IF($C27=0,"",SUMIF('Registro de Fichas'!$D$7:$D$1200,$A27,'Registro de Fichas'!$M$7:$M$1200))</f>
        <v/>
      </c>
      <c r="K27" s="26" t="n">
        <f aca="false">COUNTIFS('Registro de Fichas'!$D$7:$D$1200,$A27,'Registro de Fichas'!$K$7:$K$1200,"Contenedores")</f>
        <v>0</v>
      </c>
      <c r="L27" s="26" t="n">
        <f aca="false">COUNTIFS('Registro de Fichas'!$D$7:$D$1200,$A27,'Registro de Fichas'!$K$7:$K$1200,"Granel solido")</f>
        <v>0</v>
      </c>
      <c r="M27" s="26" t="n">
        <f aca="false">COUNTIFS('Registro de Fichas'!$D$7:$D$1200,$A27,'Registro de Fichas'!$K$7:$K$1200,"Carga fraccionada")</f>
        <v>0</v>
      </c>
      <c r="N27" s="26" t="n">
        <f aca="false">COUNTIFS('Registro de Fichas'!$D$7:$D$1200,$A27,'Registro de Fichas'!$K$7:$K$1200,"Big bags")</f>
        <v>0</v>
      </c>
      <c r="O27" s="26" t="n">
        <f aca="false">COUNTIFS('Registro de Fichas'!$D$7:$D$1200,$A27,'Registro de Fichas'!$L$7:$L$1200,"Si")</f>
        <v>0</v>
      </c>
      <c r="P27" s="23" t="str">
        <f aca="false">IF($C27=0,"",IF($C27&lt;Parametros!$B$27,"EVIDENCIA INSUFICIENTE",IF(AND($D27&lt;&gt;"",$C27&lt;$D27*Parametros!$B$28),"BAJO % MUESTREO",IF($J27&lt;Parametros!$B$31,"POCOS EVALUADORES","VALIDA"))))</f>
        <v/>
      </c>
    </row>
    <row r="28" customFormat="false" ht="15" hidden="false" customHeight="true" outlineLevel="0" collapsed="false">
      <c r="A28" s="72"/>
      <c r="B28" s="16" t="str">
        <f aca="false">IFERROR(INDEX('Registro de Fichas'!$E$7:$E$1200,MATCH($A28,'Registro de Fichas'!$D$7:$D$1200,0)),"")</f>
        <v/>
      </c>
      <c r="C28" s="74" t="n">
        <f aca="false">COUNTIF('Registro de Fichas'!$D$7:$D$1200,$A28)</f>
        <v>0</v>
      </c>
      <c r="D28" s="72"/>
      <c r="E28" s="73" t="str">
        <f aca="false">IFERROR(AVERAGEIF('Registro de Fichas'!$D$7:$D$1200,$A28,'Registro de Fichas'!$G$7:$G$1200),"")</f>
        <v/>
      </c>
      <c r="F28" s="73" t="str">
        <f aca="false">IFERROR(AVERAGEIF('Registro de Fichas'!$D$7:$D$1200,$A28,'Registro de Fichas'!$H$7:$H$1200),"")</f>
        <v/>
      </c>
      <c r="G28" s="73" t="str">
        <f aca="false">IFERROR(AVERAGEIF('Registro de Fichas'!$D$7:$D$1200,$A28,'Registro de Fichas'!$I$7:$I$1200),"")</f>
        <v/>
      </c>
      <c r="H28" s="73" t="str">
        <f aca="false">IFERROR(AVERAGEIF('Registro de Fichas'!$D$7:$D$1200,$A28,'Registro de Fichas'!$J$7:$J$1200),"")</f>
        <v/>
      </c>
      <c r="I28" s="56" t="str">
        <f aca="false">IF($C28=0,"",IF($C28&gt;=Parametros!$B$27,"OK","FALTAN "&amp;(Parametros!$B$27-$C28)))</f>
        <v/>
      </c>
      <c r="J28" s="56" t="str">
        <f aca="false">IF($C28=0,"",SUMIF('Registro de Fichas'!$D$7:$D$1200,$A28,'Registro de Fichas'!$M$7:$M$1200))</f>
        <v/>
      </c>
      <c r="K28" s="74" t="n">
        <f aca="false">COUNTIFS('Registro de Fichas'!$D$7:$D$1200,$A28,'Registro de Fichas'!$K$7:$K$1200,"Contenedores")</f>
        <v>0</v>
      </c>
      <c r="L28" s="74" t="n">
        <f aca="false">COUNTIFS('Registro de Fichas'!$D$7:$D$1200,$A28,'Registro de Fichas'!$K$7:$K$1200,"Granel solido")</f>
        <v>0</v>
      </c>
      <c r="M28" s="74" t="n">
        <f aca="false">COUNTIFS('Registro de Fichas'!$D$7:$D$1200,$A28,'Registro de Fichas'!$K$7:$K$1200,"Carga fraccionada")</f>
        <v>0</v>
      </c>
      <c r="N28" s="74" t="n">
        <f aca="false">COUNTIFS('Registro de Fichas'!$D$7:$D$1200,$A28,'Registro de Fichas'!$K$7:$K$1200,"Big bags")</f>
        <v>0</v>
      </c>
      <c r="O28" s="74" t="n">
        <f aca="false">COUNTIFS('Registro de Fichas'!$D$7:$D$1200,$A28,'Registro de Fichas'!$L$7:$L$1200,"Si")</f>
        <v>0</v>
      </c>
      <c r="P28" s="75" t="str">
        <f aca="false">IF($C28=0,"",IF($C28&lt;Parametros!$B$27,"EVIDENCIA INSUFICIENTE",IF(AND($D28&lt;&gt;"",$C28&lt;$D28*Parametros!$B$28),"BAJO % MUESTREO",IF($J28&lt;Parametros!$B$31,"POCOS EVALUADORES","VALIDA"))))</f>
        <v/>
      </c>
    </row>
    <row r="29" customFormat="false" ht="15" hidden="false" customHeight="true" outlineLevel="0" collapsed="false">
      <c r="A29" s="72"/>
      <c r="B29" s="13" t="str">
        <f aca="false">IFERROR(INDEX('Registro de Fichas'!$E$7:$E$1200,MATCH($A29,'Registro de Fichas'!$D$7:$D$1200,0)),"")</f>
        <v/>
      </c>
      <c r="C29" s="26" t="n">
        <f aca="false">COUNTIF('Registro de Fichas'!$D$7:$D$1200,$A29)</f>
        <v>0</v>
      </c>
      <c r="D29" s="72"/>
      <c r="E29" s="73" t="str">
        <f aca="false">IFERROR(AVERAGEIF('Registro de Fichas'!$D$7:$D$1200,$A29,'Registro de Fichas'!$G$7:$G$1200),"")</f>
        <v/>
      </c>
      <c r="F29" s="73" t="str">
        <f aca="false">IFERROR(AVERAGEIF('Registro de Fichas'!$D$7:$D$1200,$A29,'Registro de Fichas'!$H$7:$H$1200),"")</f>
        <v/>
      </c>
      <c r="G29" s="73" t="str">
        <f aca="false">IFERROR(AVERAGEIF('Registro de Fichas'!$D$7:$D$1200,$A29,'Registro de Fichas'!$I$7:$I$1200),"")</f>
        <v/>
      </c>
      <c r="H29" s="73" t="str">
        <f aca="false">IFERROR(AVERAGEIF('Registro de Fichas'!$D$7:$D$1200,$A29,'Registro de Fichas'!$J$7:$J$1200),"")</f>
        <v/>
      </c>
      <c r="I29" s="38" t="str">
        <f aca="false">IF($C29=0,"",IF($C29&gt;=Parametros!$B$27,"OK","FALTAN "&amp;(Parametros!$B$27-$C29)))</f>
        <v/>
      </c>
      <c r="J29" s="38" t="str">
        <f aca="false">IF($C29=0,"",SUMIF('Registro de Fichas'!$D$7:$D$1200,$A29,'Registro de Fichas'!$M$7:$M$1200))</f>
        <v/>
      </c>
      <c r="K29" s="26" t="n">
        <f aca="false">COUNTIFS('Registro de Fichas'!$D$7:$D$1200,$A29,'Registro de Fichas'!$K$7:$K$1200,"Contenedores")</f>
        <v>0</v>
      </c>
      <c r="L29" s="26" t="n">
        <f aca="false">COUNTIFS('Registro de Fichas'!$D$7:$D$1200,$A29,'Registro de Fichas'!$K$7:$K$1200,"Granel solido")</f>
        <v>0</v>
      </c>
      <c r="M29" s="26" t="n">
        <f aca="false">COUNTIFS('Registro de Fichas'!$D$7:$D$1200,$A29,'Registro de Fichas'!$K$7:$K$1200,"Carga fraccionada")</f>
        <v>0</v>
      </c>
      <c r="N29" s="26" t="n">
        <f aca="false">COUNTIFS('Registro de Fichas'!$D$7:$D$1200,$A29,'Registro de Fichas'!$K$7:$K$1200,"Big bags")</f>
        <v>0</v>
      </c>
      <c r="O29" s="26" t="n">
        <f aca="false">COUNTIFS('Registro de Fichas'!$D$7:$D$1200,$A29,'Registro de Fichas'!$L$7:$L$1200,"Si")</f>
        <v>0</v>
      </c>
      <c r="P29" s="23" t="str">
        <f aca="false">IF($C29=0,"",IF($C29&lt;Parametros!$B$27,"EVIDENCIA INSUFICIENTE",IF(AND($D29&lt;&gt;"",$C29&lt;$D29*Parametros!$B$28),"BAJO % MUESTREO",IF($J29&lt;Parametros!$B$31,"POCOS EVALUADORES","VALIDA"))))</f>
        <v/>
      </c>
    </row>
    <row r="30" customFormat="false" ht="15" hidden="false" customHeight="true" outlineLevel="0" collapsed="false">
      <c r="A30" s="72"/>
      <c r="B30" s="16" t="str">
        <f aca="false">IFERROR(INDEX('Registro de Fichas'!$E$7:$E$1200,MATCH($A30,'Registro de Fichas'!$D$7:$D$1200,0)),"")</f>
        <v/>
      </c>
      <c r="C30" s="74" t="n">
        <f aca="false">COUNTIF('Registro de Fichas'!$D$7:$D$1200,$A30)</f>
        <v>0</v>
      </c>
      <c r="D30" s="72"/>
      <c r="E30" s="73" t="str">
        <f aca="false">IFERROR(AVERAGEIF('Registro de Fichas'!$D$7:$D$1200,$A30,'Registro de Fichas'!$G$7:$G$1200),"")</f>
        <v/>
      </c>
      <c r="F30" s="73" t="str">
        <f aca="false">IFERROR(AVERAGEIF('Registro de Fichas'!$D$7:$D$1200,$A30,'Registro de Fichas'!$H$7:$H$1200),"")</f>
        <v/>
      </c>
      <c r="G30" s="73" t="str">
        <f aca="false">IFERROR(AVERAGEIF('Registro de Fichas'!$D$7:$D$1200,$A30,'Registro de Fichas'!$I$7:$I$1200),"")</f>
        <v/>
      </c>
      <c r="H30" s="73" t="str">
        <f aca="false">IFERROR(AVERAGEIF('Registro de Fichas'!$D$7:$D$1200,$A30,'Registro de Fichas'!$J$7:$J$1200),"")</f>
        <v/>
      </c>
      <c r="I30" s="56" t="str">
        <f aca="false">IF($C30=0,"",IF($C30&gt;=Parametros!$B$27,"OK","FALTAN "&amp;(Parametros!$B$27-$C30)))</f>
        <v/>
      </c>
      <c r="J30" s="56" t="str">
        <f aca="false">IF($C30=0,"",SUMIF('Registro de Fichas'!$D$7:$D$1200,$A30,'Registro de Fichas'!$M$7:$M$1200))</f>
        <v/>
      </c>
      <c r="K30" s="74" t="n">
        <f aca="false">COUNTIFS('Registro de Fichas'!$D$7:$D$1200,$A30,'Registro de Fichas'!$K$7:$K$1200,"Contenedores")</f>
        <v>0</v>
      </c>
      <c r="L30" s="74" t="n">
        <f aca="false">COUNTIFS('Registro de Fichas'!$D$7:$D$1200,$A30,'Registro de Fichas'!$K$7:$K$1200,"Granel solido")</f>
        <v>0</v>
      </c>
      <c r="M30" s="74" t="n">
        <f aca="false">COUNTIFS('Registro de Fichas'!$D$7:$D$1200,$A30,'Registro de Fichas'!$K$7:$K$1200,"Carga fraccionada")</f>
        <v>0</v>
      </c>
      <c r="N30" s="74" t="n">
        <f aca="false">COUNTIFS('Registro de Fichas'!$D$7:$D$1200,$A30,'Registro de Fichas'!$K$7:$K$1200,"Big bags")</f>
        <v>0</v>
      </c>
      <c r="O30" s="74" t="n">
        <f aca="false">COUNTIFS('Registro de Fichas'!$D$7:$D$1200,$A30,'Registro de Fichas'!$L$7:$L$1200,"Si")</f>
        <v>0</v>
      </c>
      <c r="P30" s="75" t="str">
        <f aca="false">IF($C30=0,"",IF($C30&lt;Parametros!$B$27,"EVIDENCIA INSUFICIENTE",IF(AND($D30&lt;&gt;"",$C30&lt;$D30*Parametros!$B$28),"BAJO % MUESTREO",IF($J30&lt;Parametros!$B$31,"POCOS EVALUADORES","VALIDA"))))</f>
        <v/>
      </c>
    </row>
    <row r="31" customFormat="false" ht="15" hidden="false" customHeight="true" outlineLevel="0" collapsed="false">
      <c r="A31" s="72"/>
      <c r="B31" s="13" t="str">
        <f aca="false">IFERROR(INDEX('Registro de Fichas'!$E$7:$E$1200,MATCH($A31,'Registro de Fichas'!$D$7:$D$1200,0)),"")</f>
        <v/>
      </c>
      <c r="C31" s="26" t="n">
        <f aca="false">COUNTIF('Registro de Fichas'!$D$7:$D$1200,$A31)</f>
        <v>0</v>
      </c>
      <c r="D31" s="72"/>
      <c r="E31" s="73" t="str">
        <f aca="false">IFERROR(AVERAGEIF('Registro de Fichas'!$D$7:$D$1200,$A31,'Registro de Fichas'!$G$7:$G$1200),"")</f>
        <v/>
      </c>
      <c r="F31" s="73" t="str">
        <f aca="false">IFERROR(AVERAGEIF('Registro de Fichas'!$D$7:$D$1200,$A31,'Registro de Fichas'!$H$7:$H$1200),"")</f>
        <v/>
      </c>
      <c r="G31" s="73" t="str">
        <f aca="false">IFERROR(AVERAGEIF('Registro de Fichas'!$D$7:$D$1200,$A31,'Registro de Fichas'!$I$7:$I$1200),"")</f>
        <v/>
      </c>
      <c r="H31" s="73" t="str">
        <f aca="false">IFERROR(AVERAGEIF('Registro de Fichas'!$D$7:$D$1200,$A31,'Registro de Fichas'!$J$7:$J$1200),"")</f>
        <v/>
      </c>
      <c r="I31" s="38" t="str">
        <f aca="false">IF($C31=0,"",IF($C31&gt;=Parametros!$B$27,"OK","FALTAN "&amp;(Parametros!$B$27-$C31)))</f>
        <v/>
      </c>
      <c r="J31" s="38" t="str">
        <f aca="false">IF($C31=0,"",SUMIF('Registro de Fichas'!$D$7:$D$1200,$A31,'Registro de Fichas'!$M$7:$M$1200))</f>
        <v/>
      </c>
      <c r="K31" s="26" t="n">
        <f aca="false">COUNTIFS('Registro de Fichas'!$D$7:$D$1200,$A31,'Registro de Fichas'!$K$7:$K$1200,"Contenedores")</f>
        <v>0</v>
      </c>
      <c r="L31" s="26" t="n">
        <f aca="false">COUNTIFS('Registro de Fichas'!$D$7:$D$1200,$A31,'Registro de Fichas'!$K$7:$K$1200,"Granel solido")</f>
        <v>0</v>
      </c>
      <c r="M31" s="26" t="n">
        <f aca="false">COUNTIFS('Registro de Fichas'!$D$7:$D$1200,$A31,'Registro de Fichas'!$K$7:$K$1200,"Carga fraccionada")</f>
        <v>0</v>
      </c>
      <c r="N31" s="26" t="n">
        <f aca="false">COUNTIFS('Registro de Fichas'!$D$7:$D$1200,$A31,'Registro de Fichas'!$K$7:$K$1200,"Big bags")</f>
        <v>0</v>
      </c>
      <c r="O31" s="26" t="n">
        <f aca="false">COUNTIFS('Registro de Fichas'!$D$7:$D$1200,$A31,'Registro de Fichas'!$L$7:$L$1200,"Si")</f>
        <v>0</v>
      </c>
      <c r="P31" s="23" t="str">
        <f aca="false">IF($C31=0,"",IF($C31&lt;Parametros!$B$27,"EVIDENCIA INSUFICIENTE",IF(AND($D31&lt;&gt;"",$C31&lt;$D31*Parametros!$B$28),"BAJO % MUESTREO",IF($J31&lt;Parametros!$B$31,"POCOS EVALUADORES","VALIDA"))))</f>
        <v/>
      </c>
    </row>
    <row r="32" customFormat="false" ht="15" hidden="false" customHeight="true" outlineLevel="0" collapsed="false">
      <c r="A32" s="72"/>
      <c r="B32" s="16" t="str">
        <f aca="false">IFERROR(INDEX('Registro de Fichas'!$E$7:$E$1200,MATCH($A32,'Registro de Fichas'!$D$7:$D$1200,0)),"")</f>
        <v/>
      </c>
      <c r="C32" s="74" t="n">
        <f aca="false">COUNTIF('Registro de Fichas'!$D$7:$D$1200,$A32)</f>
        <v>0</v>
      </c>
      <c r="D32" s="72"/>
      <c r="E32" s="73" t="str">
        <f aca="false">IFERROR(AVERAGEIF('Registro de Fichas'!$D$7:$D$1200,$A32,'Registro de Fichas'!$G$7:$G$1200),"")</f>
        <v/>
      </c>
      <c r="F32" s="73" t="str">
        <f aca="false">IFERROR(AVERAGEIF('Registro de Fichas'!$D$7:$D$1200,$A32,'Registro de Fichas'!$H$7:$H$1200),"")</f>
        <v/>
      </c>
      <c r="G32" s="73" t="str">
        <f aca="false">IFERROR(AVERAGEIF('Registro de Fichas'!$D$7:$D$1200,$A32,'Registro de Fichas'!$I$7:$I$1200),"")</f>
        <v/>
      </c>
      <c r="H32" s="73" t="str">
        <f aca="false">IFERROR(AVERAGEIF('Registro de Fichas'!$D$7:$D$1200,$A32,'Registro de Fichas'!$J$7:$J$1200),"")</f>
        <v/>
      </c>
      <c r="I32" s="56" t="str">
        <f aca="false">IF($C32=0,"",IF($C32&gt;=Parametros!$B$27,"OK","FALTAN "&amp;(Parametros!$B$27-$C32)))</f>
        <v/>
      </c>
      <c r="J32" s="56" t="str">
        <f aca="false">IF($C32=0,"",SUMIF('Registro de Fichas'!$D$7:$D$1200,$A32,'Registro de Fichas'!$M$7:$M$1200))</f>
        <v/>
      </c>
      <c r="K32" s="74" t="n">
        <f aca="false">COUNTIFS('Registro de Fichas'!$D$7:$D$1200,$A32,'Registro de Fichas'!$K$7:$K$1200,"Contenedores")</f>
        <v>0</v>
      </c>
      <c r="L32" s="74" t="n">
        <f aca="false">COUNTIFS('Registro de Fichas'!$D$7:$D$1200,$A32,'Registro de Fichas'!$K$7:$K$1200,"Granel solido")</f>
        <v>0</v>
      </c>
      <c r="M32" s="74" t="n">
        <f aca="false">COUNTIFS('Registro de Fichas'!$D$7:$D$1200,$A32,'Registro de Fichas'!$K$7:$K$1200,"Carga fraccionada")</f>
        <v>0</v>
      </c>
      <c r="N32" s="74" t="n">
        <f aca="false">COUNTIFS('Registro de Fichas'!$D$7:$D$1200,$A32,'Registro de Fichas'!$K$7:$K$1200,"Big bags")</f>
        <v>0</v>
      </c>
      <c r="O32" s="74" t="n">
        <f aca="false">COUNTIFS('Registro de Fichas'!$D$7:$D$1200,$A32,'Registro de Fichas'!$L$7:$L$1200,"Si")</f>
        <v>0</v>
      </c>
      <c r="P32" s="75" t="str">
        <f aca="false">IF($C32=0,"",IF($C32&lt;Parametros!$B$27,"EVIDENCIA INSUFICIENTE",IF(AND($D32&lt;&gt;"",$C32&lt;$D32*Parametros!$B$28),"BAJO % MUESTREO",IF($J32&lt;Parametros!$B$31,"POCOS EVALUADORES","VALIDA"))))</f>
        <v/>
      </c>
    </row>
    <row r="33" customFormat="false" ht="15" hidden="false" customHeight="true" outlineLevel="0" collapsed="false">
      <c r="A33" s="72"/>
      <c r="B33" s="13" t="str">
        <f aca="false">IFERROR(INDEX('Registro de Fichas'!$E$7:$E$1200,MATCH($A33,'Registro de Fichas'!$D$7:$D$1200,0)),"")</f>
        <v/>
      </c>
      <c r="C33" s="26" t="n">
        <f aca="false">COUNTIF('Registro de Fichas'!$D$7:$D$1200,$A33)</f>
        <v>0</v>
      </c>
      <c r="D33" s="72"/>
      <c r="E33" s="73" t="str">
        <f aca="false">IFERROR(AVERAGEIF('Registro de Fichas'!$D$7:$D$1200,$A33,'Registro de Fichas'!$G$7:$G$1200),"")</f>
        <v/>
      </c>
      <c r="F33" s="73" t="str">
        <f aca="false">IFERROR(AVERAGEIF('Registro de Fichas'!$D$7:$D$1200,$A33,'Registro de Fichas'!$H$7:$H$1200),"")</f>
        <v/>
      </c>
      <c r="G33" s="73" t="str">
        <f aca="false">IFERROR(AVERAGEIF('Registro de Fichas'!$D$7:$D$1200,$A33,'Registro de Fichas'!$I$7:$I$1200),"")</f>
        <v/>
      </c>
      <c r="H33" s="73" t="str">
        <f aca="false">IFERROR(AVERAGEIF('Registro de Fichas'!$D$7:$D$1200,$A33,'Registro de Fichas'!$J$7:$J$1200),"")</f>
        <v/>
      </c>
      <c r="I33" s="38" t="str">
        <f aca="false">IF($C33=0,"",IF($C33&gt;=Parametros!$B$27,"OK","FALTAN "&amp;(Parametros!$B$27-$C33)))</f>
        <v/>
      </c>
      <c r="J33" s="38" t="str">
        <f aca="false">IF($C33=0,"",SUMIF('Registro de Fichas'!$D$7:$D$1200,$A33,'Registro de Fichas'!$M$7:$M$1200))</f>
        <v/>
      </c>
      <c r="K33" s="26" t="n">
        <f aca="false">COUNTIFS('Registro de Fichas'!$D$7:$D$1200,$A33,'Registro de Fichas'!$K$7:$K$1200,"Contenedores")</f>
        <v>0</v>
      </c>
      <c r="L33" s="26" t="n">
        <f aca="false">COUNTIFS('Registro de Fichas'!$D$7:$D$1200,$A33,'Registro de Fichas'!$K$7:$K$1200,"Granel solido")</f>
        <v>0</v>
      </c>
      <c r="M33" s="26" t="n">
        <f aca="false">COUNTIFS('Registro de Fichas'!$D$7:$D$1200,$A33,'Registro de Fichas'!$K$7:$K$1200,"Carga fraccionada")</f>
        <v>0</v>
      </c>
      <c r="N33" s="26" t="n">
        <f aca="false">COUNTIFS('Registro de Fichas'!$D$7:$D$1200,$A33,'Registro de Fichas'!$K$7:$K$1200,"Big bags")</f>
        <v>0</v>
      </c>
      <c r="O33" s="26" t="n">
        <f aca="false">COUNTIFS('Registro de Fichas'!$D$7:$D$1200,$A33,'Registro de Fichas'!$L$7:$L$1200,"Si")</f>
        <v>0</v>
      </c>
      <c r="P33" s="23" t="str">
        <f aca="false">IF($C33=0,"",IF($C33&lt;Parametros!$B$27,"EVIDENCIA INSUFICIENTE",IF(AND($D33&lt;&gt;"",$C33&lt;$D33*Parametros!$B$28),"BAJO % MUESTREO",IF($J33&lt;Parametros!$B$31,"POCOS EVALUADORES","VALIDA"))))</f>
        <v/>
      </c>
    </row>
    <row r="34" customFormat="false" ht="15" hidden="false" customHeight="true" outlineLevel="0" collapsed="false">
      <c r="A34" s="72"/>
      <c r="B34" s="16" t="str">
        <f aca="false">IFERROR(INDEX('Registro de Fichas'!$E$7:$E$1200,MATCH($A34,'Registro de Fichas'!$D$7:$D$1200,0)),"")</f>
        <v/>
      </c>
      <c r="C34" s="74" t="n">
        <f aca="false">COUNTIF('Registro de Fichas'!$D$7:$D$1200,$A34)</f>
        <v>0</v>
      </c>
      <c r="D34" s="72"/>
      <c r="E34" s="73" t="str">
        <f aca="false">IFERROR(AVERAGEIF('Registro de Fichas'!$D$7:$D$1200,$A34,'Registro de Fichas'!$G$7:$G$1200),"")</f>
        <v/>
      </c>
      <c r="F34" s="73" t="str">
        <f aca="false">IFERROR(AVERAGEIF('Registro de Fichas'!$D$7:$D$1200,$A34,'Registro de Fichas'!$H$7:$H$1200),"")</f>
        <v/>
      </c>
      <c r="G34" s="73" t="str">
        <f aca="false">IFERROR(AVERAGEIF('Registro de Fichas'!$D$7:$D$1200,$A34,'Registro de Fichas'!$I$7:$I$1200),"")</f>
        <v/>
      </c>
      <c r="H34" s="73" t="str">
        <f aca="false">IFERROR(AVERAGEIF('Registro de Fichas'!$D$7:$D$1200,$A34,'Registro de Fichas'!$J$7:$J$1200),"")</f>
        <v/>
      </c>
      <c r="I34" s="56" t="str">
        <f aca="false">IF($C34=0,"",IF($C34&gt;=Parametros!$B$27,"OK","FALTAN "&amp;(Parametros!$B$27-$C34)))</f>
        <v/>
      </c>
      <c r="J34" s="56" t="str">
        <f aca="false">IF($C34=0,"",SUMIF('Registro de Fichas'!$D$7:$D$1200,$A34,'Registro de Fichas'!$M$7:$M$1200))</f>
        <v/>
      </c>
      <c r="K34" s="74" t="n">
        <f aca="false">COUNTIFS('Registro de Fichas'!$D$7:$D$1200,$A34,'Registro de Fichas'!$K$7:$K$1200,"Contenedores")</f>
        <v>0</v>
      </c>
      <c r="L34" s="74" t="n">
        <f aca="false">COUNTIFS('Registro de Fichas'!$D$7:$D$1200,$A34,'Registro de Fichas'!$K$7:$K$1200,"Granel solido")</f>
        <v>0</v>
      </c>
      <c r="M34" s="74" t="n">
        <f aca="false">COUNTIFS('Registro de Fichas'!$D$7:$D$1200,$A34,'Registro de Fichas'!$K$7:$K$1200,"Carga fraccionada")</f>
        <v>0</v>
      </c>
      <c r="N34" s="74" t="n">
        <f aca="false">COUNTIFS('Registro de Fichas'!$D$7:$D$1200,$A34,'Registro de Fichas'!$K$7:$K$1200,"Big bags")</f>
        <v>0</v>
      </c>
      <c r="O34" s="74" t="n">
        <f aca="false">COUNTIFS('Registro de Fichas'!$D$7:$D$1200,$A34,'Registro de Fichas'!$L$7:$L$1200,"Si")</f>
        <v>0</v>
      </c>
      <c r="P34" s="75" t="str">
        <f aca="false">IF($C34=0,"",IF($C34&lt;Parametros!$B$27,"EVIDENCIA INSUFICIENTE",IF(AND($D34&lt;&gt;"",$C34&lt;$D34*Parametros!$B$28),"BAJO % MUESTREO",IF($J34&lt;Parametros!$B$31,"POCOS EVALUADORES","VALIDA"))))</f>
        <v/>
      </c>
    </row>
    <row r="35" customFormat="false" ht="15" hidden="false" customHeight="true" outlineLevel="0" collapsed="false">
      <c r="A35" s="72"/>
      <c r="B35" s="13" t="str">
        <f aca="false">IFERROR(INDEX('Registro de Fichas'!$E$7:$E$1200,MATCH($A35,'Registro de Fichas'!$D$7:$D$1200,0)),"")</f>
        <v/>
      </c>
      <c r="C35" s="26" t="n">
        <f aca="false">COUNTIF('Registro de Fichas'!$D$7:$D$1200,$A35)</f>
        <v>0</v>
      </c>
      <c r="D35" s="72"/>
      <c r="E35" s="73" t="str">
        <f aca="false">IFERROR(AVERAGEIF('Registro de Fichas'!$D$7:$D$1200,$A35,'Registro de Fichas'!$G$7:$G$1200),"")</f>
        <v/>
      </c>
      <c r="F35" s="73" t="str">
        <f aca="false">IFERROR(AVERAGEIF('Registro de Fichas'!$D$7:$D$1200,$A35,'Registro de Fichas'!$H$7:$H$1200),"")</f>
        <v/>
      </c>
      <c r="G35" s="73" t="str">
        <f aca="false">IFERROR(AVERAGEIF('Registro de Fichas'!$D$7:$D$1200,$A35,'Registro de Fichas'!$I$7:$I$1200),"")</f>
        <v/>
      </c>
      <c r="H35" s="73" t="str">
        <f aca="false">IFERROR(AVERAGEIF('Registro de Fichas'!$D$7:$D$1200,$A35,'Registro de Fichas'!$J$7:$J$1200),"")</f>
        <v/>
      </c>
      <c r="I35" s="38" t="str">
        <f aca="false">IF($C35=0,"",IF($C35&gt;=Parametros!$B$27,"OK","FALTAN "&amp;(Parametros!$B$27-$C35)))</f>
        <v/>
      </c>
      <c r="J35" s="38" t="str">
        <f aca="false">IF($C35=0,"",SUMIF('Registro de Fichas'!$D$7:$D$1200,$A35,'Registro de Fichas'!$M$7:$M$1200))</f>
        <v/>
      </c>
      <c r="K35" s="26" t="n">
        <f aca="false">COUNTIFS('Registro de Fichas'!$D$7:$D$1200,$A35,'Registro de Fichas'!$K$7:$K$1200,"Contenedores")</f>
        <v>0</v>
      </c>
      <c r="L35" s="26" t="n">
        <f aca="false">COUNTIFS('Registro de Fichas'!$D$7:$D$1200,$A35,'Registro de Fichas'!$K$7:$K$1200,"Granel solido")</f>
        <v>0</v>
      </c>
      <c r="M35" s="26" t="n">
        <f aca="false">COUNTIFS('Registro de Fichas'!$D$7:$D$1200,$A35,'Registro de Fichas'!$K$7:$K$1200,"Carga fraccionada")</f>
        <v>0</v>
      </c>
      <c r="N35" s="26" t="n">
        <f aca="false">COUNTIFS('Registro de Fichas'!$D$7:$D$1200,$A35,'Registro de Fichas'!$K$7:$K$1200,"Big bags")</f>
        <v>0</v>
      </c>
      <c r="O35" s="26" t="n">
        <f aca="false">COUNTIFS('Registro de Fichas'!$D$7:$D$1200,$A35,'Registro de Fichas'!$L$7:$L$1200,"Si")</f>
        <v>0</v>
      </c>
      <c r="P35" s="23" t="str">
        <f aca="false">IF($C35=0,"",IF($C35&lt;Parametros!$B$27,"EVIDENCIA INSUFICIENTE",IF(AND($D35&lt;&gt;"",$C35&lt;$D35*Parametros!$B$28),"BAJO % MUESTREO",IF($J35&lt;Parametros!$B$31,"POCOS EVALUADORES","VALIDA"))))</f>
        <v/>
      </c>
    </row>
    <row r="36" customFormat="false" ht="15" hidden="false" customHeight="true" outlineLevel="0" collapsed="false">
      <c r="A36" s="72"/>
      <c r="B36" s="16" t="str">
        <f aca="false">IFERROR(INDEX('Registro de Fichas'!$E$7:$E$1200,MATCH($A36,'Registro de Fichas'!$D$7:$D$1200,0)),"")</f>
        <v/>
      </c>
      <c r="C36" s="74" t="n">
        <f aca="false">COUNTIF('Registro de Fichas'!$D$7:$D$1200,$A36)</f>
        <v>0</v>
      </c>
      <c r="D36" s="72"/>
      <c r="E36" s="73" t="str">
        <f aca="false">IFERROR(AVERAGEIF('Registro de Fichas'!$D$7:$D$1200,$A36,'Registro de Fichas'!$G$7:$G$1200),"")</f>
        <v/>
      </c>
      <c r="F36" s="73" t="str">
        <f aca="false">IFERROR(AVERAGEIF('Registro de Fichas'!$D$7:$D$1200,$A36,'Registro de Fichas'!$H$7:$H$1200),"")</f>
        <v/>
      </c>
      <c r="G36" s="73" t="str">
        <f aca="false">IFERROR(AVERAGEIF('Registro de Fichas'!$D$7:$D$1200,$A36,'Registro de Fichas'!$I$7:$I$1200),"")</f>
        <v/>
      </c>
      <c r="H36" s="73" t="str">
        <f aca="false">IFERROR(AVERAGEIF('Registro de Fichas'!$D$7:$D$1200,$A36,'Registro de Fichas'!$J$7:$J$1200),"")</f>
        <v/>
      </c>
      <c r="I36" s="56" t="str">
        <f aca="false">IF($C36=0,"",IF($C36&gt;=Parametros!$B$27,"OK","FALTAN "&amp;(Parametros!$B$27-$C36)))</f>
        <v/>
      </c>
      <c r="J36" s="56" t="str">
        <f aca="false">IF($C36=0,"",SUMIF('Registro de Fichas'!$D$7:$D$1200,$A36,'Registro de Fichas'!$M$7:$M$1200))</f>
        <v/>
      </c>
      <c r="K36" s="74" t="n">
        <f aca="false">COUNTIFS('Registro de Fichas'!$D$7:$D$1200,$A36,'Registro de Fichas'!$K$7:$K$1200,"Contenedores")</f>
        <v>0</v>
      </c>
      <c r="L36" s="74" t="n">
        <f aca="false">COUNTIFS('Registro de Fichas'!$D$7:$D$1200,$A36,'Registro de Fichas'!$K$7:$K$1200,"Granel solido")</f>
        <v>0</v>
      </c>
      <c r="M36" s="74" t="n">
        <f aca="false">COUNTIFS('Registro de Fichas'!$D$7:$D$1200,$A36,'Registro de Fichas'!$K$7:$K$1200,"Carga fraccionada")</f>
        <v>0</v>
      </c>
      <c r="N36" s="74" t="n">
        <f aca="false">COUNTIFS('Registro de Fichas'!$D$7:$D$1200,$A36,'Registro de Fichas'!$K$7:$K$1200,"Big bags")</f>
        <v>0</v>
      </c>
      <c r="O36" s="74" t="n">
        <f aca="false">COUNTIFS('Registro de Fichas'!$D$7:$D$1200,$A36,'Registro de Fichas'!$L$7:$L$1200,"Si")</f>
        <v>0</v>
      </c>
      <c r="P36" s="75" t="str">
        <f aca="false">IF($C36=0,"",IF($C36&lt;Parametros!$B$27,"EVIDENCIA INSUFICIENTE",IF(AND($D36&lt;&gt;"",$C36&lt;$D36*Parametros!$B$28),"BAJO % MUESTREO",IF($J36&lt;Parametros!$B$31,"POCOS EVALUADORES","VALIDA"))))</f>
        <v/>
      </c>
    </row>
    <row r="37" customFormat="false" ht="15" hidden="false" customHeight="true" outlineLevel="0" collapsed="false">
      <c r="A37" s="72"/>
      <c r="B37" s="13" t="str">
        <f aca="false">IFERROR(INDEX('Registro de Fichas'!$E$7:$E$1200,MATCH($A37,'Registro de Fichas'!$D$7:$D$1200,0)),"")</f>
        <v/>
      </c>
      <c r="C37" s="26" t="n">
        <f aca="false">COUNTIF('Registro de Fichas'!$D$7:$D$1200,$A37)</f>
        <v>0</v>
      </c>
      <c r="D37" s="72"/>
      <c r="E37" s="73" t="str">
        <f aca="false">IFERROR(AVERAGEIF('Registro de Fichas'!$D$7:$D$1200,$A37,'Registro de Fichas'!$G$7:$G$1200),"")</f>
        <v/>
      </c>
      <c r="F37" s="73" t="str">
        <f aca="false">IFERROR(AVERAGEIF('Registro de Fichas'!$D$7:$D$1200,$A37,'Registro de Fichas'!$H$7:$H$1200),"")</f>
        <v/>
      </c>
      <c r="G37" s="73" t="str">
        <f aca="false">IFERROR(AVERAGEIF('Registro de Fichas'!$D$7:$D$1200,$A37,'Registro de Fichas'!$I$7:$I$1200),"")</f>
        <v/>
      </c>
      <c r="H37" s="73" t="str">
        <f aca="false">IFERROR(AVERAGEIF('Registro de Fichas'!$D$7:$D$1200,$A37,'Registro de Fichas'!$J$7:$J$1200),"")</f>
        <v/>
      </c>
      <c r="I37" s="38" t="str">
        <f aca="false">IF($C37=0,"",IF($C37&gt;=Parametros!$B$27,"OK","FALTAN "&amp;(Parametros!$B$27-$C37)))</f>
        <v/>
      </c>
      <c r="J37" s="38" t="str">
        <f aca="false">IF($C37=0,"",SUMIF('Registro de Fichas'!$D$7:$D$1200,$A37,'Registro de Fichas'!$M$7:$M$1200))</f>
        <v/>
      </c>
      <c r="K37" s="26" t="n">
        <f aca="false">COUNTIFS('Registro de Fichas'!$D$7:$D$1200,$A37,'Registro de Fichas'!$K$7:$K$1200,"Contenedores")</f>
        <v>0</v>
      </c>
      <c r="L37" s="26" t="n">
        <f aca="false">COUNTIFS('Registro de Fichas'!$D$7:$D$1200,$A37,'Registro de Fichas'!$K$7:$K$1200,"Granel solido")</f>
        <v>0</v>
      </c>
      <c r="M37" s="26" t="n">
        <f aca="false">COUNTIFS('Registro de Fichas'!$D$7:$D$1200,$A37,'Registro de Fichas'!$K$7:$K$1200,"Carga fraccionada")</f>
        <v>0</v>
      </c>
      <c r="N37" s="26" t="n">
        <f aca="false">COUNTIFS('Registro de Fichas'!$D$7:$D$1200,$A37,'Registro de Fichas'!$K$7:$K$1200,"Big bags")</f>
        <v>0</v>
      </c>
      <c r="O37" s="26" t="n">
        <f aca="false">COUNTIFS('Registro de Fichas'!$D$7:$D$1200,$A37,'Registro de Fichas'!$L$7:$L$1200,"Si")</f>
        <v>0</v>
      </c>
      <c r="P37" s="23" t="str">
        <f aca="false">IF($C37=0,"",IF($C37&lt;Parametros!$B$27,"EVIDENCIA INSUFICIENTE",IF(AND($D37&lt;&gt;"",$C37&lt;$D37*Parametros!$B$28),"BAJO % MUESTREO",IF($J37&lt;Parametros!$B$31,"POCOS EVALUADORES","VALIDA"))))</f>
        <v/>
      </c>
    </row>
    <row r="38" customFormat="false" ht="15" hidden="false" customHeight="true" outlineLevel="0" collapsed="false">
      <c r="A38" s="72"/>
      <c r="B38" s="16" t="str">
        <f aca="false">IFERROR(INDEX('Registro de Fichas'!$E$7:$E$1200,MATCH($A38,'Registro de Fichas'!$D$7:$D$1200,0)),"")</f>
        <v/>
      </c>
      <c r="C38" s="74" t="n">
        <f aca="false">COUNTIF('Registro de Fichas'!$D$7:$D$1200,$A38)</f>
        <v>0</v>
      </c>
      <c r="D38" s="72"/>
      <c r="E38" s="73" t="str">
        <f aca="false">IFERROR(AVERAGEIF('Registro de Fichas'!$D$7:$D$1200,$A38,'Registro de Fichas'!$G$7:$G$1200),"")</f>
        <v/>
      </c>
      <c r="F38" s="73" t="str">
        <f aca="false">IFERROR(AVERAGEIF('Registro de Fichas'!$D$7:$D$1200,$A38,'Registro de Fichas'!$H$7:$H$1200),"")</f>
        <v/>
      </c>
      <c r="G38" s="73" t="str">
        <f aca="false">IFERROR(AVERAGEIF('Registro de Fichas'!$D$7:$D$1200,$A38,'Registro de Fichas'!$I$7:$I$1200),"")</f>
        <v/>
      </c>
      <c r="H38" s="73" t="str">
        <f aca="false">IFERROR(AVERAGEIF('Registro de Fichas'!$D$7:$D$1200,$A38,'Registro de Fichas'!$J$7:$J$1200),"")</f>
        <v/>
      </c>
      <c r="I38" s="56" t="str">
        <f aca="false">IF($C38=0,"",IF($C38&gt;=Parametros!$B$27,"OK","FALTAN "&amp;(Parametros!$B$27-$C38)))</f>
        <v/>
      </c>
      <c r="J38" s="56" t="str">
        <f aca="false">IF($C38=0,"",SUMIF('Registro de Fichas'!$D$7:$D$1200,$A38,'Registro de Fichas'!$M$7:$M$1200))</f>
        <v/>
      </c>
      <c r="K38" s="74" t="n">
        <f aca="false">COUNTIFS('Registro de Fichas'!$D$7:$D$1200,$A38,'Registro de Fichas'!$K$7:$K$1200,"Contenedores")</f>
        <v>0</v>
      </c>
      <c r="L38" s="74" t="n">
        <f aca="false">COUNTIFS('Registro de Fichas'!$D$7:$D$1200,$A38,'Registro de Fichas'!$K$7:$K$1200,"Granel solido")</f>
        <v>0</v>
      </c>
      <c r="M38" s="74" t="n">
        <f aca="false">COUNTIFS('Registro de Fichas'!$D$7:$D$1200,$A38,'Registro de Fichas'!$K$7:$K$1200,"Carga fraccionada")</f>
        <v>0</v>
      </c>
      <c r="N38" s="74" t="n">
        <f aca="false">COUNTIFS('Registro de Fichas'!$D$7:$D$1200,$A38,'Registro de Fichas'!$K$7:$K$1200,"Big bags")</f>
        <v>0</v>
      </c>
      <c r="O38" s="74" t="n">
        <f aca="false">COUNTIFS('Registro de Fichas'!$D$7:$D$1200,$A38,'Registro de Fichas'!$L$7:$L$1200,"Si")</f>
        <v>0</v>
      </c>
      <c r="P38" s="75" t="str">
        <f aca="false">IF($C38=0,"",IF($C38&lt;Parametros!$B$27,"EVIDENCIA INSUFICIENTE",IF(AND($D38&lt;&gt;"",$C38&lt;$D38*Parametros!$B$28),"BAJO % MUESTREO",IF($J38&lt;Parametros!$B$31,"POCOS EVALUADORES","VALIDA"))))</f>
        <v/>
      </c>
    </row>
    <row r="39" customFormat="false" ht="15" hidden="false" customHeight="true" outlineLevel="0" collapsed="false">
      <c r="A39" s="72"/>
      <c r="B39" s="13" t="str">
        <f aca="false">IFERROR(INDEX('Registro de Fichas'!$E$7:$E$1200,MATCH($A39,'Registro de Fichas'!$D$7:$D$1200,0)),"")</f>
        <v/>
      </c>
      <c r="C39" s="26" t="n">
        <f aca="false">COUNTIF('Registro de Fichas'!$D$7:$D$1200,$A39)</f>
        <v>0</v>
      </c>
      <c r="D39" s="72"/>
      <c r="E39" s="73" t="str">
        <f aca="false">IFERROR(AVERAGEIF('Registro de Fichas'!$D$7:$D$1200,$A39,'Registro de Fichas'!$G$7:$G$1200),"")</f>
        <v/>
      </c>
      <c r="F39" s="73" t="str">
        <f aca="false">IFERROR(AVERAGEIF('Registro de Fichas'!$D$7:$D$1200,$A39,'Registro de Fichas'!$H$7:$H$1200),"")</f>
        <v/>
      </c>
      <c r="G39" s="73" t="str">
        <f aca="false">IFERROR(AVERAGEIF('Registro de Fichas'!$D$7:$D$1200,$A39,'Registro de Fichas'!$I$7:$I$1200),"")</f>
        <v/>
      </c>
      <c r="H39" s="73" t="str">
        <f aca="false">IFERROR(AVERAGEIF('Registro de Fichas'!$D$7:$D$1200,$A39,'Registro de Fichas'!$J$7:$J$1200),"")</f>
        <v/>
      </c>
      <c r="I39" s="38" t="str">
        <f aca="false">IF($C39=0,"",IF($C39&gt;=Parametros!$B$27,"OK","FALTAN "&amp;(Parametros!$B$27-$C39)))</f>
        <v/>
      </c>
      <c r="J39" s="38" t="str">
        <f aca="false">IF($C39=0,"",SUMIF('Registro de Fichas'!$D$7:$D$1200,$A39,'Registro de Fichas'!$M$7:$M$1200))</f>
        <v/>
      </c>
      <c r="K39" s="26" t="n">
        <f aca="false">COUNTIFS('Registro de Fichas'!$D$7:$D$1200,$A39,'Registro de Fichas'!$K$7:$K$1200,"Contenedores")</f>
        <v>0</v>
      </c>
      <c r="L39" s="26" t="n">
        <f aca="false">COUNTIFS('Registro de Fichas'!$D$7:$D$1200,$A39,'Registro de Fichas'!$K$7:$K$1200,"Granel solido")</f>
        <v>0</v>
      </c>
      <c r="M39" s="26" t="n">
        <f aca="false">COUNTIFS('Registro de Fichas'!$D$7:$D$1200,$A39,'Registro de Fichas'!$K$7:$K$1200,"Carga fraccionada")</f>
        <v>0</v>
      </c>
      <c r="N39" s="26" t="n">
        <f aca="false">COUNTIFS('Registro de Fichas'!$D$7:$D$1200,$A39,'Registro de Fichas'!$K$7:$K$1200,"Big bags")</f>
        <v>0</v>
      </c>
      <c r="O39" s="26" t="n">
        <f aca="false">COUNTIFS('Registro de Fichas'!$D$7:$D$1200,$A39,'Registro de Fichas'!$L$7:$L$1200,"Si")</f>
        <v>0</v>
      </c>
      <c r="P39" s="23" t="str">
        <f aca="false">IF($C39=0,"",IF($C39&lt;Parametros!$B$27,"EVIDENCIA INSUFICIENTE",IF(AND($D39&lt;&gt;"",$C39&lt;$D39*Parametros!$B$28),"BAJO % MUESTREO",IF($J39&lt;Parametros!$B$31,"POCOS EVALUADORES","VALIDA"))))</f>
        <v/>
      </c>
    </row>
    <row r="40" customFormat="false" ht="15" hidden="false" customHeight="true" outlineLevel="0" collapsed="false">
      <c r="A40" s="72"/>
      <c r="B40" s="16" t="str">
        <f aca="false">IFERROR(INDEX('Registro de Fichas'!$E$7:$E$1200,MATCH($A40,'Registro de Fichas'!$D$7:$D$1200,0)),"")</f>
        <v/>
      </c>
      <c r="C40" s="74" t="n">
        <f aca="false">COUNTIF('Registro de Fichas'!$D$7:$D$1200,$A40)</f>
        <v>0</v>
      </c>
      <c r="D40" s="72"/>
      <c r="E40" s="73" t="str">
        <f aca="false">IFERROR(AVERAGEIF('Registro de Fichas'!$D$7:$D$1200,$A40,'Registro de Fichas'!$G$7:$G$1200),"")</f>
        <v/>
      </c>
      <c r="F40" s="73" t="str">
        <f aca="false">IFERROR(AVERAGEIF('Registro de Fichas'!$D$7:$D$1200,$A40,'Registro de Fichas'!$H$7:$H$1200),"")</f>
        <v/>
      </c>
      <c r="G40" s="73" t="str">
        <f aca="false">IFERROR(AVERAGEIF('Registro de Fichas'!$D$7:$D$1200,$A40,'Registro de Fichas'!$I$7:$I$1200),"")</f>
        <v/>
      </c>
      <c r="H40" s="73" t="str">
        <f aca="false">IFERROR(AVERAGEIF('Registro de Fichas'!$D$7:$D$1200,$A40,'Registro de Fichas'!$J$7:$J$1200),"")</f>
        <v/>
      </c>
      <c r="I40" s="56" t="str">
        <f aca="false">IF($C40=0,"",IF($C40&gt;=Parametros!$B$27,"OK","FALTAN "&amp;(Parametros!$B$27-$C40)))</f>
        <v/>
      </c>
      <c r="J40" s="56" t="str">
        <f aca="false">IF($C40=0,"",SUMIF('Registro de Fichas'!$D$7:$D$1200,$A40,'Registro de Fichas'!$M$7:$M$1200))</f>
        <v/>
      </c>
      <c r="K40" s="74" t="n">
        <f aca="false">COUNTIFS('Registro de Fichas'!$D$7:$D$1200,$A40,'Registro de Fichas'!$K$7:$K$1200,"Contenedores")</f>
        <v>0</v>
      </c>
      <c r="L40" s="74" t="n">
        <f aca="false">COUNTIFS('Registro de Fichas'!$D$7:$D$1200,$A40,'Registro de Fichas'!$K$7:$K$1200,"Granel solido")</f>
        <v>0</v>
      </c>
      <c r="M40" s="74" t="n">
        <f aca="false">COUNTIFS('Registro de Fichas'!$D$7:$D$1200,$A40,'Registro de Fichas'!$K$7:$K$1200,"Carga fraccionada")</f>
        <v>0</v>
      </c>
      <c r="N40" s="74" t="n">
        <f aca="false">COUNTIFS('Registro de Fichas'!$D$7:$D$1200,$A40,'Registro de Fichas'!$K$7:$K$1200,"Big bags")</f>
        <v>0</v>
      </c>
      <c r="O40" s="74" t="n">
        <f aca="false">COUNTIFS('Registro de Fichas'!$D$7:$D$1200,$A40,'Registro de Fichas'!$L$7:$L$1200,"Si")</f>
        <v>0</v>
      </c>
      <c r="P40" s="75" t="str">
        <f aca="false">IF($C40=0,"",IF($C40&lt;Parametros!$B$27,"EVIDENCIA INSUFICIENTE",IF(AND($D40&lt;&gt;"",$C40&lt;$D40*Parametros!$B$28),"BAJO % MUESTREO",IF($J40&lt;Parametros!$B$31,"POCOS EVALUADORES","VALIDA"))))</f>
        <v/>
      </c>
    </row>
    <row r="41" customFormat="false" ht="15" hidden="false" customHeight="true" outlineLevel="0" collapsed="false">
      <c r="A41" s="72"/>
      <c r="B41" s="13" t="str">
        <f aca="false">IFERROR(INDEX('Registro de Fichas'!$E$7:$E$1200,MATCH($A41,'Registro de Fichas'!$D$7:$D$1200,0)),"")</f>
        <v/>
      </c>
      <c r="C41" s="26" t="n">
        <f aca="false">COUNTIF('Registro de Fichas'!$D$7:$D$1200,$A41)</f>
        <v>0</v>
      </c>
      <c r="D41" s="72"/>
      <c r="E41" s="73" t="str">
        <f aca="false">IFERROR(AVERAGEIF('Registro de Fichas'!$D$7:$D$1200,$A41,'Registro de Fichas'!$G$7:$G$1200),"")</f>
        <v/>
      </c>
      <c r="F41" s="73" t="str">
        <f aca="false">IFERROR(AVERAGEIF('Registro de Fichas'!$D$7:$D$1200,$A41,'Registro de Fichas'!$H$7:$H$1200),"")</f>
        <v/>
      </c>
      <c r="G41" s="73" t="str">
        <f aca="false">IFERROR(AVERAGEIF('Registro de Fichas'!$D$7:$D$1200,$A41,'Registro de Fichas'!$I$7:$I$1200),"")</f>
        <v/>
      </c>
      <c r="H41" s="73" t="str">
        <f aca="false">IFERROR(AVERAGEIF('Registro de Fichas'!$D$7:$D$1200,$A41,'Registro de Fichas'!$J$7:$J$1200),"")</f>
        <v/>
      </c>
      <c r="I41" s="38" t="str">
        <f aca="false">IF($C41=0,"",IF($C41&gt;=Parametros!$B$27,"OK","FALTAN "&amp;(Parametros!$B$27-$C41)))</f>
        <v/>
      </c>
      <c r="J41" s="38" t="str">
        <f aca="false">IF($C41=0,"",SUMIF('Registro de Fichas'!$D$7:$D$1200,$A41,'Registro de Fichas'!$M$7:$M$1200))</f>
        <v/>
      </c>
      <c r="K41" s="26" t="n">
        <f aca="false">COUNTIFS('Registro de Fichas'!$D$7:$D$1200,$A41,'Registro de Fichas'!$K$7:$K$1200,"Contenedores")</f>
        <v>0</v>
      </c>
      <c r="L41" s="26" t="n">
        <f aca="false">COUNTIFS('Registro de Fichas'!$D$7:$D$1200,$A41,'Registro de Fichas'!$K$7:$K$1200,"Granel solido")</f>
        <v>0</v>
      </c>
      <c r="M41" s="26" t="n">
        <f aca="false">COUNTIFS('Registro de Fichas'!$D$7:$D$1200,$A41,'Registro de Fichas'!$K$7:$K$1200,"Carga fraccionada")</f>
        <v>0</v>
      </c>
      <c r="N41" s="26" t="n">
        <f aca="false">COUNTIFS('Registro de Fichas'!$D$7:$D$1200,$A41,'Registro de Fichas'!$K$7:$K$1200,"Big bags")</f>
        <v>0</v>
      </c>
      <c r="O41" s="26" t="n">
        <f aca="false">COUNTIFS('Registro de Fichas'!$D$7:$D$1200,$A41,'Registro de Fichas'!$L$7:$L$1200,"Si")</f>
        <v>0</v>
      </c>
      <c r="P41" s="23" t="str">
        <f aca="false">IF($C41=0,"",IF($C41&lt;Parametros!$B$27,"EVIDENCIA INSUFICIENTE",IF(AND($D41&lt;&gt;"",$C41&lt;$D41*Parametros!$B$28),"BAJO % MUESTREO",IF($J41&lt;Parametros!$B$31,"POCOS EVALUADORES","VALIDA"))))</f>
        <v/>
      </c>
    </row>
    <row r="42" customFormat="false" ht="15" hidden="false" customHeight="true" outlineLevel="0" collapsed="false">
      <c r="A42" s="72"/>
      <c r="B42" s="16" t="str">
        <f aca="false">IFERROR(INDEX('Registro de Fichas'!$E$7:$E$1200,MATCH($A42,'Registro de Fichas'!$D$7:$D$1200,0)),"")</f>
        <v/>
      </c>
      <c r="C42" s="74" t="n">
        <f aca="false">COUNTIF('Registro de Fichas'!$D$7:$D$1200,$A42)</f>
        <v>0</v>
      </c>
      <c r="D42" s="72"/>
      <c r="E42" s="73" t="str">
        <f aca="false">IFERROR(AVERAGEIF('Registro de Fichas'!$D$7:$D$1200,$A42,'Registro de Fichas'!$G$7:$G$1200),"")</f>
        <v/>
      </c>
      <c r="F42" s="73" t="str">
        <f aca="false">IFERROR(AVERAGEIF('Registro de Fichas'!$D$7:$D$1200,$A42,'Registro de Fichas'!$H$7:$H$1200),"")</f>
        <v/>
      </c>
      <c r="G42" s="73" t="str">
        <f aca="false">IFERROR(AVERAGEIF('Registro de Fichas'!$D$7:$D$1200,$A42,'Registro de Fichas'!$I$7:$I$1200),"")</f>
        <v/>
      </c>
      <c r="H42" s="73" t="str">
        <f aca="false">IFERROR(AVERAGEIF('Registro de Fichas'!$D$7:$D$1200,$A42,'Registro de Fichas'!$J$7:$J$1200),"")</f>
        <v/>
      </c>
      <c r="I42" s="56" t="str">
        <f aca="false">IF($C42=0,"",IF($C42&gt;=Parametros!$B$27,"OK","FALTAN "&amp;(Parametros!$B$27-$C42)))</f>
        <v/>
      </c>
      <c r="J42" s="56" t="str">
        <f aca="false">IF($C42=0,"",SUMIF('Registro de Fichas'!$D$7:$D$1200,$A42,'Registro de Fichas'!$M$7:$M$1200))</f>
        <v/>
      </c>
      <c r="K42" s="74" t="n">
        <f aca="false">COUNTIFS('Registro de Fichas'!$D$7:$D$1200,$A42,'Registro de Fichas'!$K$7:$K$1200,"Contenedores")</f>
        <v>0</v>
      </c>
      <c r="L42" s="74" t="n">
        <f aca="false">COUNTIFS('Registro de Fichas'!$D$7:$D$1200,$A42,'Registro de Fichas'!$K$7:$K$1200,"Granel solido")</f>
        <v>0</v>
      </c>
      <c r="M42" s="74" t="n">
        <f aca="false">COUNTIFS('Registro de Fichas'!$D$7:$D$1200,$A42,'Registro de Fichas'!$K$7:$K$1200,"Carga fraccionada")</f>
        <v>0</v>
      </c>
      <c r="N42" s="74" t="n">
        <f aca="false">COUNTIFS('Registro de Fichas'!$D$7:$D$1200,$A42,'Registro de Fichas'!$K$7:$K$1200,"Big bags")</f>
        <v>0</v>
      </c>
      <c r="O42" s="74" t="n">
        <f aca="false">COUNTIFS('Registro de Fichas'!$D$7:$D$1200,$A42,'Registro de Fichas'!$L$7:$L$1200,"Si")</f>
        <v>0</v>
      </c>
      <c r="P42" s="75" t="str">
        <f aca="false">IF($C42=0,"",IF($C42&lt;Parametros!$B$27,"EVIDENCIA INSUFICIENTE",IF(AND($D42&lt;&gt;"",$C42&lt;$D42*Parametros!$B$28),"BAJO % MUESTREO",IF($J42&lt;Parametros!$B$31,"POCOS EVALUADORES","VALIDA"))))</f>
        <v/>
      </c>
    </row>
    <row r="43" customFormat="false" ht="15" hidden="false" customHeight="true" outlineLevel="0" collapsed="false">
      <c r="A43" s="72"/>
      <c r="B43" s="13" t="str">
        <f aca="false">IFERROR(INDEX('Registro de Fichas'!$E$7:$E$1200,MATCH($A43,'Registro de Fichas'!$D$7:$D$1200,0)),"")</f>
        <v/>
      </c>
      <c r="C43" s="26" t="n">
        <f aca="false">COUNTIF('Registro de Fichas'!$D$7:$D$1200,$A43)</f>
        <v>0</v>
      </c>
      <c r="D43" s="72"/>
      <c r="E43" s="73" t="str">
        <f aca="false">IFERROR(AVERAGEIF('Registro de Fichas'!$D$7:$D$1200,$A43,'Registro de Fichas'!$G$7:$G$1200),"")</f>
        <v/>
      </c>
      <c r="F43" s="73" t="str">
        <f aca="false">IFERROR(AVERAGEIF('Registro de Fichas'!$D$7:$D$1200,$A43,'Registro de Fichas'!$H$7:$H$1200),"")</f>
        <v/>
      </c>
      <c r="G43" s="73" t="str">
        <f aca="false">IFERROR(AVERAGEIF('Registro de Fichas'!$D$7:$D$1200,$A43,'Registro de Fichas'!$I$7:$I$1200),"")</f>
        <v/>
      </c>
      <c r="H43" s="73" t="str">
        <f aca="false">IFERROR(AVERAGEIF('Registro de Fichas'!$D$7:$D$1200,$A43,'Registro de Fichas'!$J$7:$J$1200),"")</f>
        <v/>
      </c>
      <c r="I43" s="38" t="str">
        <f aca="false">IF($C43=0,"",IF($C43&gt;=Parametros!$B$27,"OK","FALTAN "&amp;(Parametros!$B$27-$C43)))</f>
        <v/>
      </c>
      <c r="J43" s="38" t="str">
        <f aca="false">IF($C43=0,"",SUMIF('Registro de Fichas'!$D$7:$D$1200,$A43,'Registro de Fichas'!$M$7:$M$1200))</f>
        <v/>
      </c>
      <c r="K43" s="26" t="n">
        <f aca="false">COUNTIFS('Registro de Fichas'!$D$7:$D$1200,$A43,'Registro de Fichas'!$K$7:$K$1200,"Contenedores")</f>
        <v>0</v>
      </c>
      <c r="L43" s="26" t="n">
        <f aca="false">COUNTIFS('Registro de Fichas'!$D$7:$D$1200,$A43,'Registro de Fichas'!$K$7:$K$1200,"Granel solido")</f>
        <v>0</v>
      </c>
      <c r="M43" s="26" t="n">
        <f aca="false">COUNTIFS('Registro de Fichas'!$D$7:$D$1200,$A43,'Registro de Fichas'!$K$7:$K$1200,"Carga fraccionada")</f>
        <v>0</v>
      </c>
      <c r="N43" s="26" t="n">
        <f aca="false">COUNTIFS('Registro de Fichas'!$D$7:$D$1200,$A43,'Registro de Fichas'!$K$7:$K$1200,"Big bags")</f>
        <v>0</v>
      </c>
      <c r="O43" s="26" t="n">
        <f aca="false">COUNTIFS('Registro de Fichas'!$D$7:$D$1200,$A43,'Registro de Fichas'!$L$7:$L$1200,"Si")</f>
        <v>0</v>
      </c>
      <c r="P43" s="23" t="str">
        <f aca="false">IF($C43=0,"",IF($C43&lt;Parametros!$B$27,"EVIDENCIA INSUFICIENTE",IF(AND($D43&lt;&gt;"",$C43&lt;$D43*Parametros!$B$28),"BAJO % MUESTREO",IF($J43&lt;Parametros!$B$31,"POCOS EVALUADORES","VALIDA"))))</f>
        <v/>
      </c>
    </row>
    <row r="44" customFormat="false" ht="15" hidden="false" customHeight="true" outlineLevel="0" collapsed="false">
      <c r="A44" s="72"/>
      <c r="B44" s="16" t="str">
        <f aca="false">IFERROR(INDEX('Registro de Fichas'!$E$7:$E$1200,MATCH($A44,'Registro de Fichas'!$D$7:$D$1200,0)),"")</f>
        <v/>
      </c>
      <c r="C44" s="74" t="n">
        <f aca="false">COUNTIF('Registro de Fichas'!$D$7:$D$1200,$A44)</f>
        <v>0</v>
      </c>
      <c r="D44" s="72"/>
      <c r="E44" s="73" t="str">
        <f aca="false">IFERROR(AVERAGEIF('Registro de Fichas'!$D$7:$D$1200,$A44,'Registro de Fichas'!$G$7:$G$1200),"")</f>
        <v/>
      </c>
      <c r="F44" s="73" t="str">
        <f aca="false">IFERROR(AVERAGEIF('Registro de Fichas'!$D$7:$D$1200,$A44,'Registro de Fichas'!$H$7:$H$1200),"")</f>
        <v/>
      </c>
      <c r="G44" s="73" t="str">
        <f aca="false">IFERROR(AVERAGEIF('Registro de Fichas'!$D$7:$D$1200,$A44,'Registro de Fichas'!$I$7:$I$1200),"")</f>
        <v/>
      </c>
      <c r="H44" s="73" t="str">
        <f aca="false">IFERROR(AVERAGEIF('Registro de Fichas'!$D$7:$D$1200,$A44,'Registro de Fichas'!$J$7:$J$1200),"")</f>
        <v/>
      </c>
      <c r="I44" s="56" t="str">
        <f aca="false">IF($C44=0,"",IF($C44&gt;=Parametros!$B$27,"OK","FALTAN "&amp;(Parametros!$B$27-$C44)))</f>
        <v/>
      </c>
      <c r="J44" s="56" t="str">
        <f aca="false">IF($C44=0,"",SUMIF('Registro de Fichas'!$D$7:$D$1200,$A44,'Registro de Fichas'!$M$7:$M$1200))</f>
        <v/>
      </c>
      <c r="K44" s="74" t="n">
        <f aca="false">COUNTIFS('Registro de Fichas'!$D$7:$D$1200,$A44,'Registro de Fichas'!$K$7:$K$1200,"Contenedores")</f>
        <v>0</v>
      </c>
      <c r="L44" s="74" t="n">
        <f aca="false">COUNTIFS('Registro de Fichas'!$D$7:$D$1200,$A44,'Registro de Fichas'!$K$7:$K$1200,"Granel solido")</f>
        <v>0</v>
      </c>
      <c r="M44" s="74" t="n">
        <f aca="false">COUNTIFS('Registro de Fichas'!$D$7:$D$1200,$A44,'Registro de Fichas'!$K$7:$K$1200,"Carga fraccionada")</f>
        <v>0</v>
      </c>
      <c r="N44" s="74" t="n">
        <f aca="false">COUNTIFS('Registro de Fichas'!$D$7:$D$1200,$A44,'Registro de Fichas'!$K$7:$K$1200,"Big bags")</f>
        <v>0</v>
      </c>
      <c r="O44" s="74" t="n">
        <f aca="false">COUNTIFS('Registro de Fichas'!$D$7:$D$1200,$A44,'Registro de Fichas'!$L$7:$L$1200,"Si")</f>
        <v>0</v>
      </c>
      <c r="P44" s="75" t="str">
        <f aca="false">IF($C44=0,"",IF($C44&lt;Parametros!$B$27,"EVIDENCIA INSUFICIENTE",IF(AND($D44&lt;&gt;"",$C44&lt;$D44*Parametros!$B$28),"BAJO % MUESTREO",IF($J44&lt;Parametros!$B$31,"POCOS EVALUADORES","VALIDA"))))</f>
        <v/>
      </c>
    </row>
    <row r="45" customFormat="false" ht="15" hidden="false" customHeight="true" outlineLevel="0" collapsed="false">
      <c r="A45" s="72"/>
      <c r="B45" s="13" t="str">
        <f aca="false">IFERROR(INDEX('Registro de Fichas'!$E$7:$E$1200,MATCH($A45,'Registro de Fichas'!$D$7:$D$1200,0)),"")</f>
        <v/>
      </c>
      <c r="C45" s="26" t="n">
        <f aca="false">COUNTIF('Registro de Fichas'!$D$7:$D$1200,$A45)</f>
        <v>0</v>
      </c>
      <c r="D45" s="72"/>
      <c r="E45" s="73" t="str">
        <f aca="false">IFERROR(AVERAGEIF('Registro de Fichas'!$D$7:$D$1200,$A45,'Registro de Fichas'!$G$7:$G$1200),"")</f>
        <v/>
      </c>
      <c r="F45" s="73" t="str">
        <f aca="false">IFERROR(AVERAGEIF('Registro de Fichas'!$D$7:$D$1200,$A45,'Registro de Fichas'!$H$7:$H$1200),"")</f>
        <v/>
      </c>
      <c r="G45" s="73" t="str">
        <f aca="false">IFERROR(AVERAGEIF('Registro de Fichas'!$D$7:$D$1200,$A45,'Registro de Fichas'!$I$7:$I$1200),"")</f>
        <v/>
      </c>
      <c r="H45" s="73" t="str">
        <f aca="false">IFERROR(AVERAGEIF('Registro de Fichas'!$D$7:$D$1200,$A45,'Registro de Fichas'!$J$7:$J$1200),"")</f>
        <v/>
      </c>
      <c r="I45" s="38" t="str">
        <f aca="false">IF($C45=0,"",IF($C45&gt;=Parametros!$B$27,"OK","FALTAN "&amp;(Parametros!$B$27-$C45)))</f>
        <v/>
      </c>
      <c r="J45" s="38" t="str">
        <f aca="false">IF($C45=0,"",SUMIF('Registro de Fichas'!$D$7:$D$1200,$A45,'Registro de Fichas'!$M$7:$M$1200))</f>
        <v/>
      </c>
      <c r="K45" s="26" t="n">
        <f aca="false">COUNTIFS('Registro de Fichas'!$D$7:$D$1200,$A45,'Registro de Fichas'!$K$7:$K$1200,"Contenedores")</f>
        <v>0</v>
      </c>
      <c r="L45" s="26" t="n">
        <f aca="false">COUNTIFS('Registro de Fichas'!$D$7:$D$1200,$A45,'Registro de Fichas'!$K$7:$K$1200,"Granel solido")</f>
        <v>0</v>
      </c>
      <c r="M45" s="26" t="n">
        <f aca="false">COUNTIFS('Registro de Fichas'!$D$7:$D$1200,$A45,'Registro de Fichas'!$K$7:$K$1200,"Carga fraccionada")</f>
        <v>0</v>
      </c>
      <c r="N45" s="26" t="n">
        <f aca="false">COUNTIFS('Registro de Fichas'!$D$7:$D$1200,$A45,'Registro de Fichas'!$K$7:$K$1200,"Big bags")</f>
        <v>0</v>
      </c>
      <c r="O45" s="26" t="n">
        <f aca="false">COUNTIFS('Registro de Fichas'!$D$7:$D$1200,$A45,'Registro de Fichas'!$L$7:$L$1200,"Si")</f>
        <v>0</v>
      </c>
      <c r="P45" s="23" t="str">
        <f aca="false">IF($C45=0,"",IF($C45&lt;Parametros!$B$27,"EVIDENCIA INSUFICIENTE",IF(AND($D45&lt;&gt;"",$C45&lt;$D45*Parametros!$B$28),"BAJO % MUESTREO",IF($J45&lt;Parametros!$B$31,"POCOS EVALUADORES","VALIDA"))))</f>
        <v/>
      </c>
    </row>
    <row r="46" customFormat="false" ht="15" hidden="false" customHeight="true" outlineLevel="0" collapsed="false">
      <c r="A46" s="72"/>
      <c r="B46" s="16" t="str">
        <f aca="false">IFERROR(INDEX('Registro de Fichas'!$E$7:$E$1200,MATCH($A46,'Registro de Fichas'!$D$7:$D$1200,0)),"")</f>
        <v/>
      </c>
      <c r="C46" s="74" t="n">
        <f aca="false">COUNTIF('Registro de Fichas'!$D$7:$D$1200,$A46)</f>
        <v>0</v>
      </c>
      <c r="D46" s="72"/>
      <c r="E46" s="73" t="str">
        <f aca="false">IFERROR(AVERAGEIF('Registro de Fichas'!$D$7:$D$1200,$A46,'Registro de Fichas'!$G$7:$G$1200),"")</f>
        <v/>
      </c>
      <c r="F46" s="73" t="str">
        <f aca="false">IFERROR(AVERAGEIF('Registro de Fichas'!$D$7:$D$1200,$A46,'Registro de Fichas'!$H$7:$H$1200),"")</f>
        <v/>
      </c>
      <c r="G46" s="73" t="str">
        <f aca="false">IFERROR(AVERAGEIF('Registro de Fichas'!$D$7:$D$1200,$A46,'Registro de Fichas'!$I$7:$I$1200),"")</f>
        <v/>
      </c>
      <c r="H46" s="73" t="str">
        <f aca="false">IFERROR(AVERAGEIF('Registro de Fichas'!$D$7:$D$1200,$A46,'Registro de Fichas'!$J$7:$J$1200),"")</f>
        <v/>
      </c>
      <c r="I46" s="56" t="str">
        <f aca="false">IF($C46=0,"",IF($C46&gt;=Parametros!$B$27,"OK","FALTAN "&amp;(Parametros!$B$27-$C46)))</f>
        <v/>
      </c>
      <c r="J46" s="56" t="str">
        <f aca="false">IF($C46=0,"",SUMIF('Registro de Fichas'!$D$7:$D$1200,$A46,'Registro de Fichas'!$M$7:$M$1200))</f>
        <v/>
      </c>
      <c r="K46" s="74" t="n">
        <f aca="false">COUNTIFS('Registro de Fichas'!$D$7:$D$1200,$A46,'Registro de Fichas'!$K$7:$K$1200,"Contenedores")</f>
        <v>0</v>
      </c>
      <c r="L46" s="74" t="n">
        <f aca="false">COUNTIFS('Registro de Fichas'!$D$7:$D$1200,$A46,'Registro de Fichas'!$K$7:$K$1200,"Granel solido")</f>
        <v>0</v>
      </c>
      <c r="M46" s="74" t="n">
        <f aca="false">COUNTIFS('Registro de Fichas'!$D$7:$D$1200,$A46,'Registro de Fichas'!$K$7:$K$1200,"Carga fraccionada")</f>
        <v>0</v>
      </c>
      <c r="N46" s="74" t="n">
        <f aca="false">COUNTIFS('Registro de Fichas'!$D$7:$D$1200,$A46,'Registro de Fichas'!$K$7:$K$1200,"Big bags")</f>
        <v>0</v>
      </c>
      <c r="O46" s="74" t="n">
        <f aca="false">COUNTIFS('Registro de Fichas'!$D$7:$D$1200,$A46,'Registro de Fichas'!$L$7:$L$1200,"Si")</f>
        <v>0</v>
      </c>
      <c r="P46" s="75" t="str">
        <f aca="false">IF($C46=0,"",IF($C46&lt;Parametros!$B$27,"EVIDENCIA INSUFICIENTE",IF(AND($D46&lt;&gt;"",$C46&lt;$D46*Parametros!$B$28),"BAJO % MUESTREO",IF($J46&lt;Parametros!$B$31,"POCOS EVALUADORES","VALIDA"))))</f>
        <v/>
      </c>
    </row>
    <row r="47" customFormat="false" ht="15" hidden="false" customHeight="true" outlineLevel="0" collapsed="false">
      <c r="A47" s="72"/>
      <c r="B47" s="13" t="str">
        <f aca="false">IFERROR(INDEX('Registro de Fichas'!$E$7:$E$1200,MATCH($A47,'Registro de Fichas'!$D$7:$D$1200,0)),"")</f>
        <v/>
      </c>
      <c r="C47" s="26" t="n">
        <f aca="false">COUNTIF('Registro de Fichas'!$D$7:$D$1200,$A47)</f>
        <v>0</v>
      </c>
      <c r="D47" s="72"/>
      <c r="E47" s="73" t="str">
        <f aca="false">IFERROR(AVERAGEIF('Registro de Fichas'!$D$7:$D$1200,$A47,'Registro de Fichas'!$G$7:$G$1200),"")</f>
        <v/>
      </c>
      <c r="F47" s="73" t="str">
        <f aca="false">IFERROR(AVERAGEIF('Registro de Fichas'!$D$7:$D$1200,$A47,'Registro de Fichas'!$H$7:$H$1200),"")</f>
        <v/>
      </c>
      <c r="G47" s="73" t="str">
        <f aca="false">IFERROR(AVERAGEIF('Registro de Fichas'!$D$7:$D$1200,$A47,'Registro de Fichas'!$I$7:$I$1200),"")</f>
        <v/>
      </c>
      <c r="H47" s="73" t="str">
        <f aca="false">IFERROR(AVERAGEIF('Registro de Fichas'!$D$7:$D$1200,$A47,'Registro de Fichas'!$J$7:$J$1200),"")</f>
        <v/>
      </c>
      <c r="I47" s="38" t="str">
        <f aca="false">IF($C47=0,"",IF($C47&gt;=Parametros!$B$27,"OK","FALTAN "&amp;(Parametros!$B$27-$C47)))</f>
        <v/>
      </c>
      <c r="J47" s="38" t="str">
        <f aca="false">IF($C47=0,"",SUMIF('Registro de Fichas'!$D$7:$D$1200,$A47,'Registro de Fichas'!$M$7:$M$1200))</f>
        <v/>
      </c>
      <c r="K47" s="26" t="n">
        <f aca="false">COUNTIFS('Registro de Fichas'!$D$7:$D$1200,$A47,'Registro de Fichas'!$K$7:$K$1200,"Contenedores")</f>
        <v>0</v>
      </c>
      <c r="L47" s="26" t="n">
        <f aca="false">COUNTIFS('Registro de Fichas'!$D$7:$D$1200,$A47,'Registro de Fichas'!$K$7:$K$1200,"Granel solido")</f>
        <v>0</v>
      </c>
      <c r="M47" s="26" t="n">
        <f aca="false">COUNTIFS('Registro de Fichas'!$D$7:$D$1200,$A47,'Registro de Fichas'!$K$7:$K$1200,"Carga fraccionada")</f>
        <v>0</v>
      </c>
      <c r="N47" s="26" t="n">
        <f aca="false">COUNTIFS('Registro de Fichas'!$D$7:$D$1200,$A47,'Registro de Fichas'!$K$7:$K$1200,"Big bags")</f>
        <v>0</v>
      </c>
      <c r="O47" s="26" t="n">
        <f aca="false">COUNTIFS('Registro de Fichas'!$D$7:$D$1200,$A47,'Registro de Fichas'!$L$7:$L$1200,"Si")</f>
        <v>0</v>
      </c>
      <c r="P47" s="23" t="str">
        <f aca="false">IF($C47=0,"",IF($C47&lt;Parametros!$B$27,"EVIDENCIA INSUFICIENTE",IF(AND($D47&lt;&gt;"",$C47&lt;$D47*Parametros!$B$28),"BAJO % MUESTREO",IF($J47&lt;Parametros!$B$31,"POCOS EVALUADORES","VALIDA"))))</f>
        <v/>
      </c>
    </row>
    <row r="48" customFormat="false" ht="15" hidden="false" customHeight="true" outlineLevel="0" collapsed="false">
      <c r="A48" s="72"/>
      <c r="B48" s="16" t="str">
        <f aca="false">IFERROR(INDEX('Registro de Fichas'!$E$7:$E$1200,MATCH($A48,'Registro de Fichas'!$D$7:$D$1200,0)),"")</f>
        <v/>
      </c>
      <c r="C48" s="74" t="n">
        <f aca="false">COUNTIF('Registro de Fichas'!$D$7:$D$1200,$A48)</f>
        <v>0</v>
      </c>
      <c r="D48" s="72"/>
      <c r="E48" s="73" t="str">
        <f aca="false">IFERROR(AVERAGEIF('Registro de Fichas'!$D$7:$D$1200,$A48,'Registro de Fichas'!$G$7:$G$1200),"")</f>
        <v/>
      </c>
      <c r="F48" s="73" t="str">
        <f aca="false">IFERROR(AVERAGEIF('Registro de Fichas'!$D$7:$D$1200,$A48,'Registro de Fichas'!$H$7:$H$1200),"")</f>
        <v/>
      </c>
      <c r="G48" s="73" t="str">
        <f aca="false">IFERROR(AVERAGEIF('Registro de Fichas'!$D$7:$D$1200,$A48,'Registro de Fichas'!$I$7:$I$1200),"")</f>
        <v/>
      </c>
      <c r="H48" s="73" t="str">
        <f aca="false">IFERROR(AVERAGEIF('Registro de Fichas'!$D$7:$D$1200,$A48,'Registro de Fichas'!$J$7:$J$1200),"")</f>
        <v/>
      </c>
      <c r="I48" s="56" t="str">
        <f aca="false">IF($C48=0,"",IF($C48&gt;=Parametros!$B$27,"OK","FALTAN "&amp;(Parametros!$B$27-$C48)))</f>
        <v/>
      </c>
      <c r="J48" s="56" t="str">
        <f aca="false">IF($C48=0,"",SUMIF('Registro de Fichas'!$D$7:$D$1200,$A48,'Registro de Fichas'!$M$7:$M$1200))</f>
        <v/>
      </c>
      <c r="K48" s="74" t="n">
        <f aca="false">COUNTIFS('Registro de Fichas'!$D$7:$D$1200,$A48,'Registro de Fichas'!$K$7:$K$1200,"Contenedores")</f>
        <v>0</v>
      </c>
      <c r="L48" s="74" t="n">
        <f aca="false">COUNTIFS('Registro de Fichas'!$D$7:$D$1200,$A48,'Registro de Fichas'!$K$7:$K$1200,"Granel solido")</f>
        <v>0</v>
      </c>
      <c r="M48" s="74" t="n">
        <f aca="false">COUNTIFS('Registro de Fichas'!$D$7:$D$1200,$A48,'Registro de Fichas'!$K$7:$K$1200,"Carga fraccionada")</f>
        <v>0</v>
      </c>
      <c r="N48" s="74" t="n">
        <f aca="false">COUNTIFS('Registro de Fichas'!$D$7:$D$1200,$A48,'Registro de Fichas'!$K$7:$K$1200,"Big bags")</f>
        <v>0</v>
      </c>
      <c r="O48" s="74" t="n">
        <f aca="false">COUNTIFS('Registro de Fichas'!$D$7:$D$1200,$A48,'Registro de Fichas'!$L$7:$L$1200,"Si")</f>
        <v>0</v>
      </c>
      <c r="P48" s="75" t="str">
        <f aca="false">IF($C48=0,"",IF($C48&lt;Parametros!$B$27,"EVIDENCIA INSUFICIENTE",IF(AND($D48&lt;&gt;"",$C48&lt;$D48*Parametros!$B$28),"BAJO % MUESTREO",IF($J48&lt;Parametros!$B$31,"POCOS EVALUADORES","VALIDA"))))</f>
        <v/>
      </c>
    </row>
    <row r="49" customFormat="false" ht="15" hidden="false" customHeight="true" outlineLevel="0" collapsed="false">
      <c r="A49" s="72"/>
      <c r="B49" s="13" t="str">
        <f aca="false">IFERROR(INDEX('Registro de Fichas'!$E$7:$E$1200,MATCH($A49,'Registro de Fichas'!$D$7:$D$1200,0)),"")</f>
        <v/>
      </c>
      <c r="C49" s="26" t="n">
        <f aca="false">COUNTIF('Registro de Fichas'!$D$7:$D$1200,$A49)</f>
        <v>0</v>
      </c>
      <c r="D49" s="72"/>
      <c r="E49" s="73" t="str">
        <f aca="false">IFERROR(AVERAGEIF('Registro de Fichas'!$D$7:$D$1200,$A49,'Registro de Fichas'!$G$7:$G$1200),"")</f>
        <v/>
      </c>
      <c r="F49" s="73" t="str">
        <f aca="false">IFERROR(AVERAGEIF('Registro de Fichas'!$D$7:$D$1200,$A49,'Registro de Fichas'!$H$7:$H$1200),"")</f>
        <v/>
      </c>
      <c r="G49" s="73" t="str">
        <f aca="false">IFERROR(AVERAGEIF('Registro de Fichas'!$D$7:$D$1200,$A49,'Registro de Fichas'!$I$7:$I$1200),"")</f>
        <v/>
      </c>
      <c r="H49" s="73" t="str">
        <f aca="false">IFERROR(AVERAGEIF('Registro de Fichas'!$D$7:$D$1200,$A49,'Registro de Fichas'!$J$7:$J$1200),"")</f>
        <v/>
      </c>
      <c r="I49" s="38" t="str">
        <f aca="false">IF($C49=0,"",IF($C49&gt;=Parametros!$B$27,"OK","FALTAN "&amp;(Parametros!$B$27-$C49)))</f>
        <v/>
      </c>
      <c r="J49" s="38" t="str">
        <f aca="false">IF($C49=0,"",SUMIF('Registro de Fichas'!$D$7:$D$1200,$A49,'Registro de Fichas'!$M$7:$M$1200))</f>
        <v/>
      </c>
      <c r="K49" s="26" t="n">
        <f aca="false">COUNTIFS('Registro de Fichas'!$D$7:$D$1200,$A49,'Registro de Fichas'!$K$7:$K$1200,"Contenedores")</f>
        <v>0</v>
      </c>
      <c r="L49" s="26" t="n">
        <f aca="false">COUNTIFS('Registro de Fichas'!$D$7:$D$1200,$A49,'Registro de Fichas'!$K$7:$K$1200,"Granel solido")</f>
        <v>0</v>
      </c>
      <c r="M49" s="26" t="n">
        <f aca="false">COUNTIFS('Registro de Fichas'!$D$7:$D$1200,$A49,'Registro de Fichas'!$K$7:$K$1200,"Carga fraccionada")</f>
        <v>0</v>
      </c>
      <c r="N49" s="26" t="n">
        <f aca="false">COUNTIFS('Registro de Fichas'!$D$7:$D$1200,$A49,'Registro de Fichas'!$K$7:$K$1200,"Big bags")</f>
        <v>0</v>
      </c>
      <c r="O49" s="26" t="n">
        <f aca="false">COUNTIFS('Registro de Fichas'!$D$7:$D$1200,$A49,'Registro de Fichas'!$L$7:$L$1200,"Si")</f>
        <v>0</v>
      </c>
      <c r="P49" s="23" t="str">
        <f aca="false">IF($C49=0,"",IF($C49&lt;Parametros!$B$27,"EVIDENCIA INSUFICIENTE",IF(AND($D49&lt;&gt;"",$C49&lt;$D49*Parametros!$B$28),"BAJO % MUESTREO",IF($J49&lt;Parametros!$B$31,"POCOS EVALUADORES","VALIDA"))))</f>
        <v/>
      </c>
    </row>
    <row r="50" customFormat="false" ht="15" hidden="false" customHeight="true" outlineLevel="0" collapsed="false">
      <c r="A50" s="72"/>
      <c r="B50" s="16" t="str">
        <f aca="false">IFERROR(INDEX('Registro de Fichas'!$E$7:$E$1200,MATCH($A50,'Registro de Fichas'!$D$7:$D$1200,0)),"")</f>
        <v/>
      </c>
      <c r="C50" s="74" t="n">
        <f aca="false">COUNTIF('Registro de Fichas'!$D$7:$D$1200,$A50)</f>
        <v>0</v>
      </c>
      <c r="D50" s="72"/>
      <c r="E50" s="73" t="str">
        <f aca="false">IFERROR(AVERAGEIF('Registro de Fichas'!$D$7:$D$1200,$A50,'Registro de Fichas'!$G$7:$G$1200),"")</f>
        <v/>
      </c>
      <c r="F50" s="73" t="str">
        <f aca="false">IFERROR(AVERAGEIF('Registro de Fichas'!$D$7:$D$1200,$A50,'Registro de Fichas'!$H$7:$H$1200),"")</f>
        <v/>
      </c>
      <c r="G50" s="73" t="str">
        <f aca="false">IFERROR(AVERAGEIF('Registro de Fichas'!$D$7:$D$1200,$A50,'Registro de Fichas'!$I$7:$I$1200),"")</f>
        <v/>
      </c>
      <c r="H50" s="73" t="str">
        <f aca="false">IFERROR(AVERAGEIF('Registro de Fichas'!$D$7:$D$1200,$A50,'Registro de Fichas'!$J$7:$J$1200),"")</f>
        <v/>
      </c>
      <c r="I50" s="56" t="str">
        <f aca="false">IF($C50=0,"",IF($C50&gt;=Parametros!$B$27,"OK","FALTAN "&amp;(Parametros!$B$27-$C50)))</f>
        <v/>
      </c>
      <c r="J50" s="56" t="str">
        <f aca="false">IF($C50=0,"",SUMIF('Registro de Fichas'!$D$7:$D$1200,$A50,'Registro de Fichas'!$M$7:$M$1200))</f>
        <v/>
      </c>
      <c r="K50" s="74" t="n">
        <f aca="false">COUNTIFS('Registro de Fichas'!$D$7:$D$1200,$A50,'Registro de Fichas'!$K$7:$K$1200,"Contenedores")</f>
        <v>0</v>
      </c>
      <c r="L50" s="74" t="n">
        <f aca="false">COUNTIFS('Registro de Fichas'!$D$7:$D$1200,$A50,'Registro de Fichas'!$K$7:$K$1200,"Granel solido")</f>
        <v>0</v>
      </c>
      <c r="M50" s="74" t="n">
        <f aca="false">COUNTIFS('Registro de Fichas'!$D$7:$D$1200,$A50,'Registro de Fichas'!$K$7:$K$1200,"Carga fraccionada")</f>
        <v>0</v>
      </c>
      <c r="N50" s="74" t="n">
        <f aca="false">COUNTIFS('Registro de Fichas'!$D$7:$D$1200,$A50,'Registro de Fichas'!$K$7:$K$1200,"Big bags")</f>
        <v>0</v>
      </c>
      <c r="O50" s="74" t="n">
        <f aca="false">COUNTIFS('Registro de Fichas'!$D$7:$D$1200,$A50,'Registro de Fichas'!$L$7:$L$1200,"Si")</f>
        <v>0</v>
      </c>
      <c r="P50" s="75" t="str">
        <f aca="false">IF($C50=0,"",IF($C50&lt;Parametros!$B$27,"EVIDENCIA INSUFICIENTE",IF(AND($D50&lt;&gt;"",$C50&lt;$D50*Parametros!$B$28),"BAJO % MUESTREO",IF($J50&lt;Parametros!$B$31,"POCOS EVALUADORES","VALIDA"))))</f>
        <v/>
      </c>
    </row>
    <row r="51" customFormat="false" ht="15" hidden="false" customHeight="true" outlineLevel="0" collapsed="false">
      <c r="A51" s="72"/>
      <c r="B51" s="13" t="str">
        <f aca="false">IFERROR(INDEX('Registro de Fichas'!$E$7:$E$1200,MATCH($A51,'Registro de Fichas'!$D$7:$D$1200,0)),"")</f>
        <v/>
      </c>
      <c r="C51" s="26" t="n">
        <f aca="false">COUNTIF('Registro de Fichas'!$D$7:$D$1200,$A51)</f>
        <v>0</v>
      </c>
      <c r="D51" s="72"/>
      <c r="E51" s="73" t="str">
        <f aca="false">IFERROR(AVERAGEIF('Registro de Fichas'!$D$7:$D$1200,$A51,'Registro de Fichas'!$G$7:$G$1200),"")</f>
        <v/>
      </c>
      <c r="F51" s="73" t="str">
        <f aca="false">IFERROR(AVERAGEIF('Registro de Fichas'!$D$7:$D$1200,$A51,'Registro de Fichas'!$H$7:$H$1200),"")</f>
        <v/>
      </c>
      <c r="G51" s="73" t="str">
        <f aca="false">IFERROR(AVERAGEIF('Registro de Fichas'!$D$7:$D$1200,$A51,'Registro de Fichas'!$I$7:$I$1200),"")</f>
        <v/>
      </c>
      <c r="H51" s="73" t="str">
        <f aca="false">IFERROR(AVERAGEIF('Registro de Fichas'!$D$7:$D$1200,$A51,'Registro de Fichas'!$J$7:$J$1200),"")</f>
        <v/>
      </c>
      <c r="I51" s="38" t="str">
        <f aca="false">IF($C51=0,"",IF($C51&gt;=Parametros!$B$27,"OK","FALTAN "&amp;(Parametros!$B$27-$C51)))</f>
        <v/>
      </c>
      <c r="J51" s="38" t="str">
        <f aca="false">IF($C51=0,"",SUMIF('Registro de Fichas'!$D$7:$D$1200,$A51,'Registro de Fichas'!$M$7:$M$1200))</f>
        <v/>
      </c>
      <c r="K51" s="26" t="n">
        <f aca="false">COUNTIFS('Registro de Fichas'!$D$7:$D$1200,$A51,'Registro de Fichas'!$K$7:$K$1200,"Contenedores")</f>
        <v>0</v>
      </c>
      <c r="L51" s="26" t="n">
        <f aca="false">COUNTIFS('Registro de Fichas'!$D$7:$D$1200,$A51,'Registro de Fichas'!$K$7:$K$1200,"Granel solido")</f>
        <v>0</v>
      </c>
      <c r="M51" s="26" t="n">
        <f aca="false">COUNTIFS('Registro de Fichas'!$D$7:$D$1200,$A51,'Registro de Fichas'!$K$7:$K$1200,"Carga fraccionada")</f>
        <v>0</v>
      </c>
      <c r="N51" s="26" t="n">
        <f aca="false">COUNTIFS('Registro de Fichas'!$D$7:$D$1200,$A51,'Registro de Fichas'!$K$7:$K$1200,"Big bags")</f>
        <v>0</v>
      </c>
      <c r="O51" s="26" t="n">
        <f aca="false">COUNTIFS('Registro de Fichas'!$D$7:$D$1200,$A51,'Registro de Fichas'!$L$7:$L$1200,"Si")</f>
        <v>0</v>
      </c>
      <c r="P51" s="23" t="str">
        <f aca="false">IF($C51=0,"",IF($C51&lt;Parametros!$B$27,"EVIDENCIA INSUFICIENTE",IF(AND($D51&lt;&gt;"",$C51&lt;$D51*Parametros!$B$28),"BAJO % MUESTREO",IF($J51&lt;Parametros!$B$31,"POCOS EVALUADORES","VALIDA"))))</f>
        <v/>
      </c>
    </row>
    <row r="52" customFormat="false" ht="15" hidden="false" customHeight="true" outlineLevel="0" collapsed="false">
      <c r="A52" s="72"/>
      <c r="B52" s="16" t="str">
        <f aca="false">IFERROR(INDEX('Registro de Fichas'!$E$7:$E$1200,MATCH($A52,'Registro de Fichas'!$D$7:$D$1200,0)),"")</f>
        <v/>
      </c>
      <c r="C52" s="74" t="n">
        <f aca="false">COUNTIF('Registro de Fichas'!$D$7:$D$1200,$A52)</f>
        <v>0</v>
      </c>
      <c r="D52" s="72"/>
      <c r="E52" s="73" t="str">
        <f aca="false">IFERROR(AVERAGEIF('Registro de Fichas'!$D$7:$D$1200,$A52,'Registro de Fichas'!$G$7:$G$1200),"")</f>
        <v/>
      </c>
      <c r="F52" s="73" t="str">
        <f aca="false">IFERROR(AVERAGEIF('Registro de Fichas'!$D$7:$D$1200,$A52,'Registro de Fichas'!$H$7:$H$1200),"")</f>
        <v/>
      </c>
      <c r="G52" s="73" t="str">
        <f aca="false">IFERROR(AVERAGEIF('Registro de Fichas'!$D$7:$D$1200,$A52,'Registro de Fichas'!$I$7:$I$1200),"")</f>
        <v/>
      </c>
      <c r="H52" s="73" t="str">
        <f aca="false">IFERROR(AVERAGEIF('Registro de Fichas'!$D$7:$D$1200,$A52,'Registro de Fichas'!$J$7:$J$1200),"")</f>
        <v/>
      </c>
      <c r="I52" s="56" t="str">
        <f aca="false">IF($C52=0,"",IF($C52&gt;=Parametros!$B$27,"OK","FALTAN "&amp;(Parametros!$B$27-$C52)))</f>
        <v/>
      </c>
      <c r="J52" s="56" t="str">
        <f aca="false">IF($C52=0,"",SUMIF('Registro de Fichas'!$D$7:$D$1200,$A52,'Registro de Fichas'!$M$7:$M$1200))</f>
        <v/>
      </c>
      <c r="K52" s="74" t="n">
        <f aca="false">COUNTIFS('Registro de Fichas'!$D$7:$D$1200,$A52,'Registro de Fichas'!$K$7:$K$1200,"Contenedores")</f>
        <v>0</v>
      </c>
      <c r="L52" s="74" t="n">
        <f aca="false">COUNTIFS('Registro de Fichas'!$D$7:$D$1200,$A52,'Registro de Fichas'!$K$7:$K$1200,"Granel solido")</f>
        <v>0</v>
      </c>
      <c r="M52" s="74" t="n">
        <f aca="false">COUNTIFS('Registro de Fichas'!$D$7:$D$1200,$A52,'Registro de Fichas'!$K$7:$K$1200,"Carga fraccionada")</f>
        <v>0</v>
      </c>
      <c r="N52" s="74" t="n">
        <f aca="false">COUNTIFS('Registro de Fichas'!$D$7:$D$1200,$A52,'Registro de Fichas'!$K$7:$K$1200,"Big bags")</f>
        <v>0</v>
      </c>
      <c r="O52" s="74" t="n">
        <f aca="false">COUNTIFS('Registro de Fichas'!$D$7:$D$1200,$A52,'Registro de Fichas'!$L$7:$L$1200,"Si")</f>
        <v>0</v>
      </c>
      <c r="P52" s="75" t="str">
        <f aca="false">IF($C52=0,"",IF($C52&lt;Parametros!$B$27,"EVIDENCIA INSUFICIENTE",IF(AND($D52&lt;&gt;"",$C52&lt;$D52*Parametros!$B$28),"BAJO % MUESTREO",IF($J52&lt;Parametros!$B$31,"POCOS EVALUADORES","VALIDA"))))</f>
        <v/>
      </c>
    </row>
    <row r="53" customFormat="false" ht="15" hidden="false" customHeight="true" outlineLevel="0" collapsed="false">
      <c r="A53" s="72"/>
      <c r="B53" s="13" t="str">
        <f aca="false">IFERROR(INDEX('Registro de Fichas'!$E$7:$E$1200,MATCH($A53,'Registro de Fichas'!$D$7:$D$1200,0)),"")</f>
        <v/>
      </c>
      <c r="C53" s="26" t="n">
        <f aca="false">COUNTIF('Registro de Fichas'!$D$7:$D$1200,$A53)</f>
        <v>0</v>
      </c>
      <c r="D53" s="72"/>
      <c r="E53" s="73" t="str">
        <f aca="false">IFERROR(AVERAGEIF('Registro de Fichas'!$D$7:$D$1200,$A53,'Registro de Fichas'!$G$7:$G$1200),"")</f>
        <v/>
      </c>
      <c r="F53" s="73" t="str">
        <f aca="false">IFERROR(AVERAGEIF('Registro de Fichas'!$D$7:$D$1200,$A53,'Registro de Fichas'!$H$7:$H$1200),"")</f>
        <v/>
      </c>
      <c r="G53" s="73" t="str">
        <f aca="false">IFERROR(AVERAGEIF('Registro de Fichas'!$D$7:$D$1200,$A53,'Registro de Fichas'!$I$7:$I$1200),"")</f>
        <v/>
      </c>
      <c r="H53" s="73" t="str">
        <f aca="false">IFERROR(AVERAGEIF('Registro de Fichas'!$D$7:$D$1200,$A53,'Registro de Fichas'!$J$7:$J$1200),"")</f>
        <v/>
      </c>
      <c r="I53" s="38" t="str">
        <f aca="false">IF($C53=0,"",IF($C53&gt;=Parametros!$B$27,"OK","FALTAN "&amp;(Parametros!$B$27-$C53)))</f>
        <v/>
      </c>
      <c r="J53" s="38" t="str">
        <f aca="false">IF($C53=0,"",SUMIF('Registro de Fichas'!$D$7:$D$1200,$A53,'Registro de Fichas'!$M$7:$M$1200))</f>
        <v/>
      </c>
      <c r="K53" s="26" t="n">
        <f aca="false">COUNTIFS('Registro de Fichas'!$D$7:$D$1200,$A53,'Registro de Fichas'!$K$7:$K$1200,"Contenedores")</f>
        <v>0</v>
      </c>
      <c r="L53" s="26" t="n">
        <f aca="false">COUNTIFS('Registro de Fichas'!$D$7:$D$1200,$A53,'Registro de Fichas'!$K$7:$K$1200,"Granel solido")</f>
        <v>0</v>
      </c>
      <c r="M53" s="26" t="n">
        <f aca="false">COUNTIFS('Registro de Fichas'!$D$7:$D$1200,$A53,'Registro de Fichas'!$K$7:$K$1200,"Carga fraccionada")</f>
        <v>0</v>
      </c>
      <c r="N53" s="26" t="n">
        <f aca="false">COUNTIFS('Registro de Fichas'!$D$7:$D$1200,$A53,'Registro de Fichas'!$K$7:$K$1200,"Big bags")</f>
        <v>0</v>
      </c>
      <c r="O53" s="26" t="n">
        <f aca="false">COUNTIFS('Registro de Fichas'!$D$7:$D$1200,$A53,'Registro de Fichas'!$L$7:$L$1200,"Si")</f>
        <v>0</v>
      </c>
      <c r="P53" s="23" t="str">
        <f aca="false">IF($C53=0,"",IF($C53&lt;Parametros!$B$27,"EVIDENCIA INSUFICIENTE",IF(AND($D53&lt;&gt;"",$C53&lt;$D53*Parametros!$B$28),"BAJO % MUESTREO",IF($J53&lt;Parametros!$B$31,"POCOS EVALUADORES","VALIDA"))))</f>
        <v/>
      </c>
    </row>
    <row r="54" customFormat="false" ht="15" hidden="false" customHeight="true" outlineLevel="0" collapsed="false">
      <c r="A54" s="72"/>
      <c r="B54" s="16" t="str">
        <f aca="false">IFERROR(INDEX('Registro de Fichas'!$E$7:$E$1200,MATCH($A54,'Registro de Fichas'!$D$7:$D$1200,0)),"")</f>
        <v/>
      </c>
      <c r="C54" s="74" t="n">
        <f aca="false">COUNTIF('Registro de Fichas'!$D$7:$D$1200,$A54)</f>
        <v>0</v>
      </c>
      <c r="D54" s="72"/>
      <c r="E54" s="73" t="str">
        <f aca="false">IFERROR(AVERAGEIF('Registro de Fichas'!$D$7:$D$1200,$A54,'Registro de Fichas'!$G$7:$G$1200),"")</f>
        <v/>
      </c>
      <c r="F54" s="73" t="str">
        <f aca="false">IFERROR(AVERAGEIF('Registro de Fichas'!$D$7:$D$1200,$A54,'Registro de Fichas'!$H$7:$H$1200),"")</f>
        <v/>
      </c>
      <c r="G54" s="73" t="str">
        <f aca="false">IFERROR(AVERAGEIF('Registro de Fichas'!$D$7:$D$1200,$A54,'Registro de Fichas'!$I$7:$I$1200),"")</f>
        <v/>
      </c>
      <c r="H54" s="73" t="str">
        <f aca="false">IFERROR(AVERAGEIF('Registro de Fichas'!$D$7:$D$1200,$A54,'Registro de Fichas'!$J$7:$J$1200),"")</f>
        <v/>
      </c>
      <c r="I54" s="56" t="str">
        <f aca="false">IF($C54=0,"",IF($C54&gt;=Parametros!$B$27,"OK","FALTAN "&amp;(Parametros!$B$27-$C54)))</f>
        <v/>
      </c>
      <c r="J54" s="56" t="str">
        <f aca="false">IF($C54=0,"",SUMIF('Registro de Fichas'!$D$7:$D$1200,$A54,'Registro de Fichas'!$M$7:$M$1200))</f>
        <v/>
      </c>
      <c r="K54" s="74" t="n">
        <f aca="false">COUNTIFS('Registro de Fichas'!$D$7:$D$1200,$A54,'Registro de Fichas'!$K$7:$K$1200,"Contenedores")</f>
        <v>0</v>
      </c>
      <c r="L54" s="74" t="n">
        <f aca="false">COUNTIFS('Registro de Fichas'!$D$7:$D$1200,$A54,'Registro de Fichas'!$K$7:$K$1200,"Granel solido")</f>
        <v>0</v>
      </c>
      <c r="M54" s="74" t="n">
        <f aca="false">COUNTIFS('Registro de Fichas'!$D$7:$D$1200,$A54,'Registro de Fichas'!$K$7:$K$1200,"Carga fraccionada")</f>
        <v>0</v>
      </c>
      <c r="N54" s="74" t="n">
        <f aca="false">COUNTIFS('Registro de Fichas'!$D$7:$D$1200,$A54,'Registro de Fichas'!$K$7:$K$1200,"Big bags")</f>
        <v>0</v>
      </c>
      <c r="O54" s="74" t="n">
        <f aca="false">COUNTIFS('Registro de Fichas'!$D$7:$D$1200,$A54,'Registro de Fichas'!$L$7:$L$1200,"Si")</f>
        <v>0</v>
      </c>
      <c r="P54" s="75" t="str">
        <f aca="false">IF($C54=0,"",IF($C54&lt;Parametros!$B$27,"EVIDENCIA INSUFICIENTE",IF(AND($D54&lt;&gt;"",$C54&lt;$D54*Parametros!$B$28),"BAJO % MUESTREO",IF($J54&lt;Parametros!$B$31,"POCOS EVALUADORES","VALIDA"))))</f>
        <v/>
      </c>
    </row>
    <row r="55" customFormat="false" ht="15" hidden="false" customHeight="true" outlineLevel="0" collapsed="false">
      <c r="A55" s="72"/>
      <c r="B55" s="13" t="str">
        <f aca="false">IFERROR(INDEX('Registro de Fichas'!$E$7:$E$1200,MATCH($A55,'Registro de Fichas'!$D$7:$D$1200,0)),"")</f>
        <v/>
      </c>
      <c r="C55" s="26" t="n">
        <f aca="false">COUNTIF('Registro de Fichas'!$D$7:$D$1200,$A55)</f>
        <v>0</v>
      </c>
      <c r="D55" s="72"/>
      <c r="E55" s="73" t="str">
        <f aca="false">IFERROR(AVERAGEIF('Registro de Fichas'!$D$7:$D$1200,$A55,'Registro de Fichas'!$G$7:$G$1200),"")</f>
        <v/>
      </c>
      <c r="F55" s="73" t="str">
        <f aca="false">IFERROR(AVERAGEIF('Registro de Fichas'!$D$7:$D$1200,$A55,'Registro de Fichas'!$H$7:$H$1200),"")</f>
        <v/>
      </c>
      <c r="G55" s="73" t="str">
        <f aca="false">IFERROR(AVERAGEIF('Registro de Fichas'!$D$7:$D$1200,$A55,'Registro de Fichas'!$I$7:$I$1200),"")</f>
        <v/>
      </c>
      <c r="H55" s="73" t="str">
        <f aca="false">IFERROR(AVERAGEIF('Registro de Fichas'!$D$7:$D$1200,$A55,'Registro de Fichas'!$J$7:$J$1200),"")</f>
        <v/>
      </c>
      <c r="I55" s="38" t="str">
        <f aca="false">IF($C55=0,"",IF($C55&gt;=Parametros!$B$27,"OK","FALTAN "&amp;(Parametros!$B$27-$C55)))</f>
        <v/>
      </c>
      <c r="J55" s="38" t="str">
        <f aca="false">IF($C55=0,"",SUMIF('Registro de Fichas'!$D$7:$D$1200,$A55,'Registro de Fichas'!$M$7:$M$1200))</f>
        <v/>
      </c>
      <c r="K55" s="26" t="n">
        <f aca="false">COUNTIFS('Registro de Fichas'!$D$7:$D$1200,$A55,'Registro de Fichas'!$K$7:$K$1200,"Contenedores")</f>
        <v>0</v>
      </c>
      <c r="L55" s="26" t="n">
        <f aca="false">COUNTIFS('Registro de Fichas'!$D$7:$D$1200,$A55,'Registro de Fichas'!$K$7:$K$1200,"Granel solido")</f>
        <v>0</v>
      </c>
      <c r="M55" s="26" t="n">
        <f aca="false">COUNTIFS('Registro de Fichas'!$D$7:$D$1200,$A55,'Registro de Fichas'!$K$7:$K$1200,"Carga fraccionada")</f>
        <v>0</v>
      </c>
      <c r="N55" s="26" t="n">
        <f aca="false">COUNTIFS('Registro de Fichas'!$D$7:$D$1200,$A55,'Registro de Fichas'!$K$7:$K$1200,"Big bags")</f>
        <v>0</v>
      </c>
      <c r="O55" s="26" t="n">
        <f aca="false">COUNTIFS('Registro de Fichas'!$D$7:$D$1200,$A55,'Registro de Fichas'!$L$7:$L$1200,"Si")</f>
        <v>0</v>
      </c>
      <c r="P55" s="23" t="str">
        <f aca="false">IF($C55=0,"",IF($C55&lt;Parametros!$B$27,"EVIDENCIA INSUFICIENTE",IF(AND($D55&lt;&gt;"",$C55&lt;$D55*Parametros!$B$28),"BAJO % MUESTREO",IF($J55&lt;Parametros!$B$31,"POCOS EVALUADORES","VALIDA"))))</f>
        <v/>
      </c>
    </row>
    <row r="56" customFormat="false" ht="15" hidden="false" customHeight="true" outlineLevel="0" collapsed="false">
      <c r="A56" s="72"/>
      <c r="B56" s="16" t="str">
        <f aca="false">IFERROR(INDEX('Registro de Fichas'!$E$7:$E$1200,MATCH($A56,'Registro de Fichas'!$D$7:$D$1200,0)),"")</f>
        <v/>
      </c>
      <c r="C56" s="74" t="n">
        <f aca="false">COUNTIF('Registro de Fichas'!$D$7:$D$1200,$A56)</f>
        <v>0</v>
      </c>
      <c r="D56" s="72"/>
      <c r="E56" s="73" t="str">
        <f aca="false">IFERROR(AVERAGEIF('Registro de Fichas'!$D$7:$D$1200,$A56,'Registro de Fichas'!$G$7:$G$1200),"")</f>
        <v/>
      </c>
      <c r="F56" s="73" t="str">
        <f aca="false">IFERROR(AVERAGEIF('Registro de Fichas'!$D$7:$D$1200,$A56,'Registro de Fichas'!$H$7:$H$1200),"")</f>
        <v/>
      </c>
      <c r="G56" s="73" t="str">
        <f aca="false">IFERROR(AVERAGEIF('Registro de Fichas'!$D$7:$D$1200,$A56,'Registro de Fichas'!$I$7:$I$1200),"")</f>
        <v/>
      </c>
      <c r="H56" s="73" t="str">
        <f aca="false">IFERROR(AVERAGEIF('Registro de Fichas'!$D$7:$D$1200,$A56,'Registro de Fichas'!$J$7:$J$1200),"")</f>
        <v/>
      </c>
      <c r="I56" s="56" t="str">
        <f aca="false">IF($C56=0,"",IF($C56&gt;=Parametros!$B$27,"OK","FALTAN "&amp;(Parametros!$B$27-$C56)))</f>
        <v/>
      </c>
      <c r="J56" s="56" t="str">
        <f aca="false">IF($C56=0,"",SUMIF('Registro de Fichas'!$D$7:$D$1200,$A56,'Registro de Fichas'!$M$7:$M$1200))</f>
        <v/>
      </c>
      <c r="K56" s="74" t="n">
        <f aca="false">COUNTIFS('Registro de Fichas'!$D$7:$D$1200,$A56,'Registro de Fichas'!$K$7:$K$1200,"Contenedores")</f>
        <v>0</v>
      </c>
      <c r="L56" s="74" t="n">
        <f aca="false">COUNTIFS('Registro de Fichas'!$D$7:$D$1200,$A56,'Registro de Fichas'!$K$7:$K$1200,"Granel solido")</f>
        <v>0</v>
      </c>
      <c r="M56" s="74" t="n">
        <f aca="false">COUNTIFS('Registro de Fichas'!$D$7:$D$1200,$A56,'Registro de Fichas'!$K$7:$K$1200,"Carga fraccionada")</f>
        <v>0</v>
      </c>
      <c r="N56" s="74" t="n">
        <f aca="false">COUNTIFS('Registro de Fichas'!$D$7:$D$1200,$A56,'Registro de Fichas'!$K$7:$K$1200,"Big bags")</f>
        <v>0</v>
      </c>
      <c r="O56" s="74" t="n">
        <f aca="false">COUNTIFS('Registro de Fichas'!$D$7:$D$1200,$A56,'Registro de Fichas'!$L$7:$L$1200,"Si")</f>
        <v>0</v>
      </c>
      <c r="P56" s="75" t="str">
        <f aca="false">IF($C56=0,"",IF($C56&lt;Parametros!$B$27,"EVIDENCIA INSUFICIENTE",IF(AND($D56&lt;&gt;"",$C56&lt;$D56*Parametros!$B$28),"BAJO % MUESTREO",IF($J56&lt;Parametros!$B$31,"POCOS EVALUADORES","VALIDA"))))</f>
        <v/>
      </c>
    </row>
    <row r="57" customFormat="false" ht="15" hidden="false" customHeight="true" outlineLevel="0" collapsed="false">
      <c r="A57" s="72"/>
      <c r="B57" s="13" t="str">
        <f aca="false">IFERROR(INDEX('Registro de Fichas'!$E$7:$E$1200,MATCH($A57,'Registro de Fichas'!$D$7:$D$1200,0)),"")</f>
        <v/>
      </c>
      <c r="C57" s="26" t="n">
        <f aca="false">COUNTIF('Registro de Fichas'!$D$7:$D$1200,$A57)</f>
        <v>0</v>
      </c>
      <c r="D57" s="72"/>
      <c r="E57" s="73" t="str">
        <f aca="false">IFERROR(AVERAGEIF('Registro de Fichas'!$D$7:$D$1200,$A57,'Registro de Fichas'!$G$7:$G$1200),"")</f>
        <v/>
      </c>
      <c r="F57" s="73" t="str">
        <f aca="false">IFERROR(AVERAGEIF('Registro de Fichas'!$D$7:$D$1200,$A57,'Registro de Fichas'!$H$7:$H$1200),"")</f>
        <v/>
      </c>
      <c r="G57" s="73" t="str">
        <f aca="false">IFERROR(AVERAGEIF('Registro de Fichas'!$D$7:$D$1200,$A57,'Registro de Fichas'!$I$7:$I$1200),"")</f>
        <v/>
      </c>
      <c r="H57" s="73" t="str">
        <f aca="false">IFERROR(AVERAGEIF('Registro de Fichas'!$D$7:$D$1200,$A57,'Registro de Fichas'!$J$7:$J$1200),"")</f>
        <v/>
      </c>
      <c r="I57" s="38" t="str">
        <f aca="false">IF($C57=0,"",IF($C57&gt;=Parametros!$B$27,"OK","FALTAN "&amp;(Parametros!$B$27-$C57)))</f>
        <v/>
      </c>
      <c r="J57" s="38" t="str">
        <f aca="false">IF($C57=0,"",SUMIF('Registro de Fichas'!$D$7:$D$1200,$A57,'Registro de Fichas'!$M$7:$M$1200))</f>
        <v/>
      </c>
      <c r="K57" s="26" t="n">
        <f aca="false">COUNTIFS('Registro de Fichas'!$D$7:$D$1200,$A57,'Registro de Fichas'!$K$7:$K$1200,"Contenedores")</f>
        <v>0</v>
      </c>
      <c r="L57" s="26" t="n">
        <f aca="false">COUNTIFS('Registro de Fichas'!$D$7:$D$1200,$A57,'Registro de Fichas'!$K$7:$K$1200,"Granel solido")</f>
        <v>0</v>
      </c>
      <c r="M57" s="26" t="n">
        <f aca="false">COUNTIFS('Registro de Fichas'!$D$7:$D$1200,$A57,'Registro de Fichas'!$K$7:$K$1200,"Carga fraccionada")</f>
        <v>0</v>
      </c>
      <c r="N57" s="26" t="n">
        <f aca="false">COUNTIFS('Registro de Fichas'!$D$7:$D$1200,$A57,'Registro de Fichas'!$K$7:$K$1200,"Big bags")</f>
        <v>0</v>
      </c>
      <c r="O57" s="26" t="n">
        <f aca="false">COUNTIFS('Registro de Fichas'!$D$7:$D$1200,$A57,'Registro de Fichas'!$L$7:$L$1200,"Si")</f>
        <v>0</v>
      </c>
      <c r="P57" s="23" t="str">
        <f aca="false">IF($C57=0,"",IF($C57&lt;Parametros!$B$27,"EVIDENCIA INSUFICIENTE",IF(AND($D57&lt;&gt;"",$C57&lt;$D57*Parametros!$B$28),"BAJO % MUESTREO",IF($J57&lt;Parametros!$B$31,"POCOS EVALUADORES","VALIDA"))))</f>
        <v/>
      </c>
    </row>
    <row r="58" customFormat="false" ht="15" hidden="false" customHeight="true" outlineLevel="0" collapsed="false">
      <c r="A58" s="72"/>
      <c r="B58" s="16" t="str">
        <f aca="false">IFERROR(INDEX('Registro de Fichas'!$E$7:$E$1200,MATCH($A58,'Registro de Fichas'!$D$7:$D$1200,0)),"")</f>
        <v/>
      </c>
      <c r="C58" s="74" t="n">
        <f aca="false">COUNTIF('Registro de Fichas'!$D$7:$D$1200,$A58)</f>
        <v>0</v>
      </c>
      <c r="D58" s="72"/>
      <c r="E58" s="73" t="str">
        <f aca="false">IFERROR(AVERAGEIF('Registro de Fichas'!$D$7:$D$1200,$A58,'Registro de Fichas'!$G$7:$G$1200),"")</f>
        <v/>
      </c>
      <c r="F58" s="73" t="str">
        <f aca="false">IFERROR(AVERAGEIF('Registro de Fichas'!$D$7:$D$1200,$A58,'Registro de Fichas'!$H$7:$H$1200),"")</f>
        <v/>
      </c>
      <c r="G58" s="73" t="str">
        <f aca="false">IFERROR(AVERAGEIF('Registro de Fichas'!$D$7:$D$1200,$A58,'Registro de Fichas'!$I$7:$I$1200),"")</f>
        <v/>
      </c>
      <c r="H58" s="73" t="str">
        <f aca="false">IFERROR(AVERAGEIF('Registro de Fichas'!$D$7:$D$1200,$A58,'Registro de Fichas'!$J$7:$J$1200),"")</f>
        <v/>
      </c>
      <c r="I58" s="56" t="str">
        <f aca="false">IF($C58=0,"",IF($C58&gt;=Parametros!$B$27,"OK","FALTAN "&amp;(Parametros!$B$27-$C58)))</f>
        <v/>
      </c>
      <c r="J58" s="56" t="str">
        <f aca="false">IF($C58=0,"",SUMIF('Registro de Fichas'!$D$7:$D$1200,$A58,'Registro de Fichas'!$M$7:$M$1200))</f>
        <v/>
      </c>
      <c r="K58" s="74" t="n">
        <f aca="false">COUNTIFS('Registro de Fichas'!$D$7:$D$1200,$A58,'Registro de Fichas'!$K$7:$K$1200,"Contenedores")</f>
        <v>0</v>
      </c>
      <c r="L58" s="74" t="n">
        <f aca="false">COUNTIFS('Registro de Fichas'!$D$7:$D$1200,$A58,'Registro de Fichas'!$K$7:$K$1200,"Granel solido")</f>
        <v>0</v>
      </c>
      <c r="M58" s="74" t="n">
        <f aca="false">COUNTIFS('Registro de Fichas'!$D$7:$D$1200,$A58,'Registro de Fichas'!$K$7:$K$1200,"Carga fraccionada")</f>
        <v>0</v>
      </c>
      <c r="N58" s="74" t="n">
        <f aca="false">COUNTIFS('Registro de Fichas'!$D$7:$D$1200,$A58,'Registro de Fichas'!$K$7:$K$1200,"Big bags")</f>
        <v>0</v>
      </c>
      <c r="O58" s="74" t="n">
        <f aca="false">COUNTIFS('Registro de Fichas'!$D$7:$D$1200,$A58,'Registro de Fichas'!$L$7:$L$1200,"Si")</f>
        <v>0</v>
      </c>
      <c r="P58" s="75" t="str">
        <f aca="false">IF($C58=0,"",IF($C58&lt;Parametros!$B$27,"EVIDENCIA INSUFICIENTE",IF(AND($D58&lt;&gt;"",$C58&lt;$D58*Parametros!$B$28),"BAJO % MUESTREO",IF($J58&lt;Parametros!$B$31,"POCOS EVALUADORES","VALIDA"))))</f>
        <v/>
      </c>
    </row>
    <row r="59" customFormat="false" ht="15" hidden="false" customHeight="true" outlineLevel="0" collapsed="false">
      <c r="A59" s="72"/>
      <c r="B59" s="13" t="str">
        <f aca="false">IFERROR(INDEX('Registro de Fichas'!$E$7:$E$1200,MATCH($A59,'Registro de Fichas'!$D$7:$D$1200,0)),"")</f>
        <v/>
      </c>
      <c r="C59" s="26" t="n">
        <f aca="false">COUNTIF('Registro de Fichas'!$D$7:$D$1200,$A59)</f>
        <v>0</v>
      </c>
      <c r="D59" s="72"/>
      <c r="E59" s="73" t="str">
        <f aca="false">IFERROR(AVERAGEIF('Registro de Fichas'!$D$7:$D$1200,$A59,'Registro de Fichas'!$G$7:$G$1200),"")</f>
        <v/>
      </c>
      <c r="F59" s="73" t="str">
        <f aca="false">IFERROR(AVERAGEIF('Registro de Fichas'!$D$7:$D$1200,$A59,'Registro de Fichas'!$H$7:$H$1200),"")</f>
        <v/>
      </c>
      <c r="G59" s="73" t="str">
        <f aca="false">IFERROR(AVERAGEIF('Registro de Fichas'!$D$7:$D$1200,$A59,'Registro de Fichas'!$I$7:$I$1200),"")</f>
        <v/>
      </c>
      <c r="H59" s="73" t="str">
        <f aca="false">IFERROR(AVERAGEIF('Registro de Fichas'!$D$7:$D$1200,$A59,'Registro de Fichas'!$J$7:$J$1200),"")</f>
        <v/>
      </c>
      <c r="I59" s="38" t="str">
        <f aca="false">IF($C59=0,"",IF($C59&gt;=Parametros!$B$27,"OK","FALTAN "&amp;(Parametros!$B$27-$C59)))</f>
        <v/>
      </c>
      <c r="J59" s="38" t="str">
        <f aca="false">IF($C59=0,"",SUMIF('Registro de Fichas'!$D$7:$D$1200,$A59,'Registro de Fichas'!$M$7:$M$1200))</f>
        <v/>
      </c>
      <c r="K59" s="26" t="n">
        <f aca="false">COUNTIFS('Registro de Fichas'!$D$7:$D$1200,$A59,'Registro de Fichas'!$K$7:$K$1200,"Contenedores")</f>
        <v>0</v>
      </c>
      <c r="L59" s="26" t="n">
        <f aca="false">COUNTIFS('Registro de Fichas'!$D$7:$D$1200,$A59,'Registro de Fichas'!$K$7:$K$1200,"Granel solido")</f>
        <v>0</v>
      </c>
      <c r="M59" s="26" t="n">
        <f aca="false">COUNTIFS('Registro de Fichas'!$D$7:$D$1200,$A59,'Registro de Fichas'!$K$7:$K$1200,"Carga fraccionada")</f>
        <v>0</v>
      </c>
      <c r="N59" s="26" t="n">
        <f aca="false">COUNTIFS('Registro de Fichas'!$D$7:$D$1200,$A59,'Registro de Fichas'!$K$7:$K$1200,"Big bags")</f>
        <v>0</v>
      </c>
      <c r="O59" s="26" t="n">
        <f aca="false">COUNTIFS('Registro de Fichas'!$D$7:$D$1200,$A59,'Registro de Fichas'!$L$7:$L$1200,"Si")</f>
        <v>0</v>
      </c>
      <c r="P59" s="23" t="str">
        <f aca="false">IF($C59=0,"",IF($C59&lt;Parametros!$B$27,"EVIDENCIA INSUFICIENTE",IF(AND($D59&lt;&gt;"",$C59&lt;$D59*Parametros!$B$28),"BAJO % MUESTREO",IF($J59&lt;Parametros!$B$31,"POCOS EVALUADORES","VALIDA"))))</f>
        <v/>
      </c>
    </row>
    <row r="60" customFormat="false" ht="15" hidden="false" customHeight="true" outlineLevel="0" collapsed="false">
      <c r="A60" s="72"/>
      <c r="B60" s="16" t="str">
        <f aca="false">IFERROR(INDEX('Registro de Fichas'!$E$7:$E$1200,MATCH($A60,'Registro de Fichas'!$D$7:$D$1200,0)),"")</f>
        <v/>
      </c>
      <c r="C60" s="74" t="n">
        <f aca="false">COUNTIF('Registro de Fichas'!$D$7:$D$1200,$A60)</f>
        <v>0</v>
      </c>
      <c r="D60" s="72"/>
      <c r="E60" s="73" t="str">
        <f aca="false">IFERROR(AVERAGEIF('Registro de Fichas'!$D$7:$D$1200,$A60,'Registro de Fichas'!$G$7:$G$1200),"")</f>
        <v/>
      </c>
      <c r="F60" s="73" t="str">
        <f aca="false">IFERROR(AVERAGEIF('Registro de Fichas'!$D$7:$D$1200,$A60,'Registro de Fichas'!$H$7:$H$1200),"")</f>
        <v/>
      </c>
      <c r="G60" s="73" t="str">
        <f aca="false">IFERROR(AVERAGEIF('Registro de Fichas'!$D$7:$D$1200,$A60,'Registro de Fichas'!$I$7:$I$1200),"")</f>
        <v/>
      </c>
      <c r="H60" s="73" t="str">
        <f aca="false">IFERROR(AVERAGEIF('Registro de Fichas'!$D$7:$D$1200,$A60,'Registro de Fichas'!$J$7:$J$1200),"")</f>
        <v/>
      </c>
      <c r="I60" s="56" t="str">
        <f aca="false">IF($C60=0,"",IF($C60&gt;=Parametros!$B$27,"OK","FALTAN "&amp;(Parametros!$B$27-$C60)))</f>
        <v/>
      </c>
      <c r="J60" s="56" t="str">
        <f aca="false">IF($C60=0,"",SUMIF('Registro de Fichas'!$D$7:$D$1200,$A60,'Registro de Fichas'!$M$7:$M$1200))</f>
        <v/>
      </c>
      <c r="K60" s="74" t="n">
        <f aca="false">COUNTIFS('Registro de Fichas'!$D$7:$D$1200,$A60,'Registro de Fichas'!$K$7:$K$1200,"Contenedores")</f>
        <v>0</v>
      </c>
      <c r="L60" s="74" t="n">
        <f aca="false">COUNTIFS('Registro de Fichas'!$D$7:$D$1200,$A60,'Registro de Fichas'!$K$7:$K$1200,"Granel solido")</f>
        <v>0</v>
      </c>
      <c r="M60" s="74" t="n">
        <f aca="false">COUNTIFS('Registro de Fichas'!$D$7:$D$1200,$A60,'Registro de Fichas'!$K$7:$K$1200,"Carga fraccionada")</f>
        <v>0</v>
      </c>
      <c r="N60" s="74" t="n">
        <f aca="false">COUNTIFS('Registro de Fichas'!$D$7:$D$1200,$A60,'Registro de Fichas'!$K$7:$K$1200,"Big bags")</f>
        <v>0</v>
      </c>
      <c r="O60" s="74" t="n">
        <f aca="false">COUNTIFS('Registro de Fichas'!$D$7:$D$1200,$A60,'Registro de Fichas'!$L$7:$L$1200,"Si")</f>
        <v>0</v>
      </c>
      <c r="P60" s="75" t="str">
        <f aca="false">IF($C60=0,"",IF($C60&lt;Parametros!$B$27,"EVIDENCIA INSUFICIENTE",IF(AND($D60&lt;&gt;"",$C60&lt;$D60*Parametros!$B$28),"BAJO % MUESTREO",IF($J60&lt;Parametros!$B$31,"POCOS EVALUADORES","VALIDA"))))</f>
        <v/>
      </c>
    </row>
    <row r="61" customFormat="false" ht="15" hidden="false" customHeight="true" outlineLevel="0" collapsed="false">
      <c r="A61" s="72"/>
      <c r="B61" s="13" t="str">
        <f aca="false">IFERROR(INDEX('Registro de Fichas'!$E$7:$E$1200,MATCH($A61,'Registro de Fichas'!$D$7:$D$1200,0)),"")</f>
        <v/>
      </c>
      <c r="C61" s="26" t="n">
        <f aca="false">COUNTIF('Registro de Fichas'!$D$7:$D$1200,$A61)</f>
        <v>0</v>
      </c>
      <c r="D61" s="72"/>
      <c r="E61" s="73" t="str">
        <f aca="false">IFERROR(AVERAGEIF('Registro de Fichas'!$D$7:$D$1200,$A61,'Registro de Fichas'!$G$7:$G$1200),"")</f>
        <v/>
      </c>
      <c r="F61" s="73" t="str">
        <f aca="false">IFERROR(AVERAGEIF('Registro de Fichas'!$D$7:$D$1200,$A61,'Registro de Fichas'!$H$7:$H$1200),"")</f>
        <v/>
      </c>
      <c r="G61" s="73" t="str">
        <f aca="false">IFERROR(AVERAGEIF('Registro de Fichas'!$D$7:$D$1200,$A61,'Registro de Fichas'!$I$7:$I$1200),"")</f>
        <v/>
      </c>
      <c r="H61" s="73" t="str">
        <f aca="false">IFERROR(AVERAGEIF('Registro de Fichas'!$D$7:$D$1200,$A61,'Registro de Fichas'!$J$7:$J$1200),"")</f>
        <v/>
      </c>
      <c r="I61" s="38" t="str">
        <f aca="false">IF($C61=0,"",IF($C61&gt;=Parametros!$B$27,"OK","FALTAN "&amp;(Parametros!$B$27-$C61)))</f>
        <v/>
      </c>
      <c r="J61" s="38" t="str">
        <f aca="false">IF($C61=0,"",SUMIF('Registro de Fichas'!$D$7:$D$1200,$A61,'Registro de Fichas'!$M$7:$M$1200))</f>
        <v/>
      </c>
      <c r="K61" s="26" t="n">
        <f aca="false">COUNTIFS('Registro de Fichas'!$D$7:$D$1200,$A61,'Registro de Fichas'!$K$7:$K$1200,"Contenedores")</f>
        <v>0</v>
      </c>
      <c r="L61" s="26" t="n">
        <f aca="false">COUNTIFS('Registro de Fichas'!$D$7:$D$1200,$A61,'Registro de Fichas'!$K$7:$K$1200,"Granel solido")</f>
        <v>0</v>
      </c>
      <c r="M61" s="26" t="n">
        <f aca="false">COUNTIFS('Registro de Fichas'!$D$7:$D$1200,$A61,'Registro de Fichas'!$K$7:$K$1200,"Carga fraccionada")</f>
        <v>0</v>
      </c>
      <c r="N61" s="26" t="n">
        <f aca="false">COUNTIFS('Registro de Fichas'!$D$7:$D$1200,$A61,'Registro de Fichas'!$K$7:$K$1200,"Big bags")</f>
        <v>0</v>
      </c>
      <c r="O61" s="26" t="n">
        <f aca="false">COUNTIFS('Registro de Fichas'!$D$7:$D$1200,$A61,'Registro de Fichas'!$L$7:$L$1200,"Si")</f>
        <v>0</v>
      </c>
      <c r="P61" s="23" t="str">
        <f aca="false">IF($C61=0,"",IF($C61&lt;Parametros!$B$27,"EVIDENCIA INSUFICIENTE",IF(AND($D61&lt;&gt;"",$C61&lt;$D61*Parametros!$B$28),"BAJO % MUESTREO",IF($J61&lt;Parametros!$B$31,"POCOS EVALUADORES","VALIDA"))))</f>
        <v/>
      </c>
    </row>
    <row r="62" customFormat="false" ht="15" hidden="false" customHeight="true" outlineLevel="0" collapsed="false">
      <c r="A62" s="72"/>
      <c r="B62" s="16" t="str">
        <f aca="false">IFERROR(INDEX('Registro de Fichas'!$E$7:$E$1200,MATCH($A62,'Registro de Fichas'!$D$7:$D$1200,0)),"")</f>
        <v/>
      </c>
      <c r="C62" s="74" t="n">
        <f aca="false">COUNTIF('Registro de Fichas'!$D$7:$D$1200,$A62)</f>
        <v>0</v>
      </c>
      <c r="D62" s="72"/>
      <c r="E62" s="73" t="str">
        <f aca="false">IFERROR(AVERAGEIF('Registro de Fichas'!$D$7:$D$1200,$A62,'Registro de Fichas'!$G$7:$G$1200),"")</f>
        <v/>
      </c>
      <c r="F62" s="73" t="str">
        <f aca="false">IFERROR(AVERAGEIF('Registro de Fichas'!$D$7:$D$1200,$A62,'Registro de Fichas'!$H$7:$H$1200),"")</f>
        <v/>
      </c>
      <c r="G62" s="73" t="str">
        <f aca="false">IFERROR(AVERAGEIF('Registro de Fichas'!$D$7:$D$1200,$A62,'Registro de Fichas'!$I$7:$I$1200),"")</f>
        <v/>
      </c>
      <c r="H62" s="73" t="str">
        <f aca="false">IFERROR(AVERAGEIF('Registro de Fichas'!$D$7:$D$1200,$A62,'Registro de Fichas'!$J$7:$J$1200),"")</f>
        <v/>
      </c>
      <c r="I62" s="56" t="str">
        <f aca="false">IF($C62=0,"",IF($C62&gt;=Parametros!$B$27,"OK","FALTAN "&amp;(Parametros!$B$27-$C62)))</f>
        <v/>
      </c>
      <c r="J62" s="56" t="str">
        <f aca="false">IF($C62=0,"",SUMIF('Registro de Fichas'!$D$7:$D$1200,$A62,'Registro de Fichas'!$M$7:$M$1200))</f>
        <v/>
      </c>
      <c r="K62" s="74" t="n">
        <f aca="false">COUNTIFS('Registro de Fichas'!$D$7:$D$1200,$A62,'Registro de Fichas'!$K$7:$K$1200,"Contenedores")</f>
        <v>0</v>
      </c>
      <c r="L62" s="74" t="n">
        <f aca="false">COUNTIFS('Registro de Fichas'!$D$7:$D$1200,$A62,'Registro de Fichas'!$K$7:$K$1200,"Granel solido")</f>
        <v>0</v>
      </c>
      <c r="M62" s="74" t="n">
        <f aca="false">COUNTIFS('Registro de Fichas'!$D$7:$D$1200,$A62,'Registro de Fichas'!$K$7:$K$1200,"Carga fraccionada")</f>
        <v>0</v>
      </c>
      <c r="N62" s="74" t="n">
        <f aca="false">COUNTIFS('Registro de Fichas'!$D$7:$D$1200,$A62,'Registro de Fichas'!$K$7:$K$1200,"Big bags")</f>
        <v>0</v>
      </c>
      <c r="O62" s="74" t="n">
        <f aca="false">COUNTIFS('Registro de Fichas'!$D$7:$D$1200,$A62,'Registro de Fichas'!$L$7:$L$1200,"Si")</f>
        <v>0</v>
      </c>
      <c r="P62" s="75" t="str">
        <f aca="false">IF($C62=0,"",IF($C62&lt;Parametros!$B$27,"EVIDENCIA INSUFICIENTE",IF(AND($D62&lt;&gt;"",$C62&lt;$D62*Parametros!$B$28),"BAJO % MUESTREO",IF($J62&lt;Parametros!$B$31,"POCOS EVALUADORES","VALIDA"))))</f>
        <v/>
      </c>
    </row>
    <row r="63" customFormat="false" ht="15" hidden="false" customHeight="true" outlineLevel="0" collapsed="false">
      <c r="A63" s="72"/>
      <c r="B63" s="13" t="str">
        <f aca="false">IFERROR(INDEX('Registro de Fichas'!$E$7:$E$1200,MATCH($A63,'Registro de Fichas'!$D$7:$D$1200,0)),"")</f>
        <v/>
      </c>
      <c r="C63" s="26" t="n">
        <f aca="false">COUNTIF('Registro de Fichas'!$D$7:$D$1200,$A63)</f>
        <v>0</v>
      </c>
      <c r="D63" s="72"/>
      <c r="E63" s="73" t="str">
        <f aca="false">IFERROR(AVERAGEIF('Registro de Fichas'!$D$7:$D$1200,$A63,'Registro de Fichas'!$G$7:$G$1200),"")</f>
        <v/>
      </c>
      <c r="F63" s="73" t="str">
        <f aca="false">IFERROR(AVERAGEIF('Registro de Fichas'!$D$7:$D$1200,$A63,'Registro de Fichas'!$H$7:$H$1200),"")</f>
        <v/>
      </c>
      <c r="G63" s="73" t="str">
        <f aca="false">IFERROR(AVERAGEIF('Registro de Fichas'!$D$7:$D$1200,$A63,'Registro de Fichas'!$I$7:$I$1200),"")</f>
        <v/>
      </c>
      <c r="H63" s="73" t="str">
        <f aca="false">IFERROR(AVERAGEIF('Registro de Fichas'!$D$7:$D$1200,$A63,'Registro de Fichas'!$J$7:$J$1200),"")</f>
        <v/>
      </c>
      <c r="I63" s="38" t="str">
        <f aca="false">IF($C63=0,"",IF($C63&gt;=Parametros!$B$27,"OK","FALTAN "&amp;(Parametros!$B$27-$C63)))</f>
        <v/>
      </c>
      <c r="J63" s="38" t="str">
        <f aca="false">IF($C63=0,"",SUMIF('Registro de Fichas'!$D$7:$D$1200,$A63,'Registro de Fichas'!$M$7:$M$1200))</f>
        <v/>
      </c>
      <c r="K63" s="26" t="n">
        <f aca="false">COUNTIFS('Registro de Fichas'!$D$7:$D$1200,$A63,'Registro de Fichas'!$K$7:$K$1200,"Contenedores")</f>
        <v>0</v>
      </c>
      <c r="L63" s="26" t="n">
        <f aca="false">COUNTIFS('Registro de Fichas'!$D$7:$D$1200,$A63,'Registro de Fichas'!$K$7:$K$1200,"Granel solido")</f>
        <v>0</v>
      </c>
      <c r="M63" s="26" t="n">
        <f aca="false">COUNTIFS('Registro de Fichas'!$D$7:$D$1200,$A63,'Registro de Fichas'!$K$7:$K$1200,"Carga fraccionada")</f>
        <v>0</v>
      </c>
      <c r="N63" s="26" t="n">
        <f aca="false">COUNTIFS('Registro de Fichas'!$D$7:$D$1200,$A63,'Registro de Fichas'!$K$7:$K$1200,"Big bags")</f>
        <v>0</v>
      </c>
      <c r="O63" s="26" t="n">
        <f aca="false">COUNTIFS('Registro de Fichas'!$D$7:$D$1200,$A63,'Registro de Fichas'!$L$7:$L$1200,"Si")</f>
        <v>0</v>
      </c>
      <c r="P63" s="23" t="str">
        <f aca="false">IF($C63=0,"",IF($C63&lt;Parametros!$B$27,"EVIDENCIA INSUFICIENTE",IF(AND($D63&lt;&gt;"",$C63&lt;$D63*Parametros!$B$28),"BAJO % MUESTREO",IF($J63&lt;Parametros!$B$31,"POCOS EVALUADORES","VALIDA"))))</f>
        <v/>
      </c>
    </row>
    <row r="64" customFormat="false" ht="15" hidden="false" customHeight="true" outlineLevel="0" collapsed="false">
      <c r="A64" s="72"/>
      <c r="B64" s="16" t="str">
        <f aca="false">IFERROR(INDEX('Registro de Fichas'!$E$7:$E$1200,MATCH($A64,'Registro de Fichas'!$D$7:$D$1200,0)),"")</f>
        <v/>
      </c>
      <c r="C64" s="74" t="n">
        <f aca="false">COUNTIF('Registro de Fichas'!$D$7:$D$1200,$A64)</f>
        <v>0</v>
      </c>
      <c r="D64" s="72"/>
      <c r="E64" s="73" t="str">
        <f aca="false">IFERROR(AVERAGEIF('Registro de Fichas'!$D$7:$D$1200,$A64,'Registro de Fichas'!$G$7:$G$1200),"")</f>
        <v/>
      </c>
      <c r="F64" s="73" t="str">
        <f aca="false">IFERROR(AVERAGEIF('Registro de Fichas'!$D$7:$D$1200,$A64,'Registro de Fichas'!$H$7:$H$1200),"")</f>
        <v/>
      </c>
      <c r="G64" s="73" t="str">
        <f aca="false">IFERROR(AVERAGEIF('Registro de Fichas'!$D$7:$D$1200,$A64,'Registro de Fichas'!$I$7:$I$1200),"")</f>
        <v/>
      </c>
      <c r="H64" s="73" t="str">
        <f aca="false">IFERROR(AVERAGEIF('Registro de Fichas'!$D$7:$D$1200,$A64,'Registro de Fichas'!$J$7:$J$1200),"")</f>
        <v/>
      </c>
      <c r="I64" s="56" t="str">
        <f aca="false">IF($C64=0,"",IF($C64&gt;=Parametros!$B$27,"OK","FALTAN "&amp;(Parametros!$B$27-$C64)))</f>
        <v/>
      </c>
      <c r="J64" s="56" t="str">
        <f aca="false">IF($C64=0,"",SUMIF('Registro de Fichas'!$D$7:$D$1200,$A64,'Registro de Fichas'!$M$7:$M$1200))</f>
        <v/>
      </c>
      <c r="K64" s="74" t="n">
        <f aca="false">COUNTIFS('Registro de Fichas'!$D$7:$D$1200,$A64,'Registro de Fichas'!$K$7:$K$1200,"Contenedores")</f>
        <v>0</v>
      </c>
      <c r="L64" s="74" t="n">
        <f aca="false">COUNTIFS('Registro de Fichas'!$D$7:$D$1200,$A64,'Registro de Fichas'!$K$7:$K$1200,"Granel solido")</f>
        <v>0</v>
      </c>
      <c r="M64" s="74" t="n">
        <f aca="false">COUNTIFS('Registro de Fichas'!$D$7:$D$1200,$A64,'Registro de Fichas'!$K$7:$K$1200,"Carga fraccionada")</f>
        <v>0</v>
      </c>
      <c r="N64" s="74" t="n">
        <f aca="false">COUNTIFS('Registro de Fichas'!$D$7:$D$1200,$A64,'Registro de Fichas'!$K$7:$K$1200,"Big bags")</f>
        <v>0</v>
      </c>
      <c r="O64" s="74" t="n">
        <f aca="false">COUNTIFS('Registro de Fichas'!$D$7:$D$1200,$A64,'Registro de Fichas'!$L$7:$L$1200,"Si")</f>
        <v>0</v>
      </c>
      <c r="P64" s="75" t="str">
        <f aca="false">IF($C64=0,"",IF($C64&lt;Parametros!$B$27,"EVIDENCIA INSUFICIENTE",IF(AND($D64&lt;&gt;"",$C64&lt;$D64*Parametros!$B$28),"BAJO % MUESTREO",IF($J64&lt;Parametros!$B$31,"POCOS EVALUADORES","VALIDA"))))</f>
        <v/>
      </c>
    </row>
    <row r="65" customFormat="false" ht="15" hidden="false" customHeight="true" outlineLevel="0" collapsed="false">
      <c r="A65" s="72"/>
      <c r="B65" s="13" t="str">
        <f aca="false">IFERROR(INDEX('Registro de Fichas'!$E$7:$E$1200,MATCH($A65,'Registro de Fichas'!$D$7:$D$1200,0)),"")</f>
        <v/>
      </c>
      <c r="C65" s="26" t="n">
        <f aca="false">COUNTIF('Registro de Fichas'!$D$7:$D$1200,$A65)</f>
        <v>0</v>
      </c>
      <c r="D65" s="72"/>
      <c r="E65" s="73" t="str">
        <f aca="false">IFERROR(AVERAGEIF('Registro de Fichas'!$D$7:$D$1200,$A65,'Registro de Fichas'!$G$7:$G$1200),"")</f>
        <v/>
      </c>
      <c r="F65" s="73" t="str">
        <f aca="false">IFERROR(AVERAGEIF('Registro de Fichas'!$D$7:$D$1200,$A65,'Registro de Fichas'!$H$7:$H$1200),"")</f>
        <v/>
      </c>
      <c r="G65" s="73" t="str">
        <f aca="false">IFERROR(AVERAGEIF('Registro de Fichas'!$D$7:$D$1200,$A65,'Registro de Fichas'!$I$7:$I$1200),"")</f>
        <v/>
      </c>
      <c r="H65" s="73" t="str">
        <f aca="false">IFERROR(AVERAGEIF('Registro de Fichas'!$D$7:$D$1200,$A65,'Registro de Fichas'!$J$7:$J$1200),"")</f>
        <v/>
      </c>
      <c r="I65" s="38" t="str">
        <f aca="false">IF($C65=0,"",IF($C65&gt;=Parametros!$B$27,"OK","FALTAN "&amp;(Parametros!$B$27-$C65)))</f>
        <v/>
      </c>
      <c r="J65" s="38" t="str">
        <f aca="false">IF($C65=0,"",SUMIF('Registro de Fichas'!$D$7:$D$1200,$A65,'Registro de Fichas'!$M$7:$M$1200))</f>
        <v/>
      </c>
      <c r="K65" s="26" t="n">
        <f aca="false">COUNTIFS('Registro de Fichas'!$D$7:$D$1200,$A65,'Registro de Fichas'!$K$7:$K$1200,"Contenedores")</f>
        <v>0</v>
      </c>
      <c r="L65" s="26" t="n">
        <f aca="false">COUNTIFS('Registro de Fichas'!$D$7:$D$1200,$A65,'Registro de Fichas'!$K$7:$K$1200,"Granel solido")</f>
        <v>0</v>
      </c>
      <c r="M65" s="26" t="n">
        <f aca="false">COUNTIFS('Registro de Fichas'!$D$7:$D$1200,$A65,'Registro de Fichas'!$K$7:$K$1200,"Carga fraccionada")</f>
        <v>0</v>
      </c>
      <c r="N65" s="26" t="n">
        <f aca="false">COUNTIFS('Registro de Fichas'!$D$7:$D$1200,$A65,'Registro de Fichas'!$K$7:$K$1200,"Big bags")</f>
        <v>0</v>
      </c>
      <c r="O65" s="26" t="n">
        <f aca="false">COUNTIFS('Registro de Fichas'!$D$7:$D$1200,$A65,'Registro de Fichas'!$L$7:$L$1200,"Si")</f>
        <v>0</v>
      </c>
      <c r="P65" s="23" t="str">
        <f aca="false">IF($C65=0,"",IF($C65&lt;Parametros!$B$27,"EVIDENCIA INSUFICIENTE",IF(AND($D65&lt;&gt;"",$C65&lt;$D65*Parametros!$B$28),"BAJO % MUESTREO",IF($J65&lt;Parametros!$B$31,"POCOS EVALUADORES","VALIDA"))))</f>
        <v/>
      </c>
    </row>
    <row r="66" customFormat="false" ht="15" hidden="false" customHeight="true" outlineLevel="0" collapsed="false">
      <c r="A66" s="72"/>
      <c r="B66" s="16" t="str">
        <f aca="false">IFERROR(INDEX('Registro de Fichas'!$E$7:$E$1200,MATCH($A66,'Registro de Fichas'!$D$7:$D$1200,0)),"")</f>
        <v/>
      </c>
      <c r="C66" s="74" t="n">
        <f aca="false">COUNTIF('Registro de Fichas'!$D$7:$D$1200,$A66)</f>
        <v>0</v>
      </c>
      <c r="D66" s="72"/>
      <c r="E66" s="73" t="str">
        <f aca="false">IFERROR(AVERAGEIF('Registro de Fichas'!$D$7:$D$1200,$A66,'Registro de Fichas'!$G$7:$G$1200),"")</f>
        <v/>
      </c>
      <c r="F66" s="73" t="str">
        <f aca="false">IFERROR(AVERAGEIF('Registro de Fichas'!$D$7:$D$1200,$A66,'Registro de Fichas'!$H$7:$H$1200),"")</f>
        <v/>
      </c>
      <c r="G66" s="73" t="str">
        <f aca="false">IFERROR(AVERAGEIF('Registro de Fichas'!$D$7:$D$1200,$A66,'Registro de Fichas'!$I$7:$I$1200),"")</f>
        <v/>
      </c>
      <c r="H66" s="73" t="str">
        <f aca="false">IFERROR(AVERAGEIF('Registro de Fichas'!$D$7:$D$1200,$A66,'Registro de Fichas'!$J$7:$J$1200),"")</f>
        <v/>
      </c>
      <c r="I66" s="56" t="str">
        <f aca="false">IF($C66=0,"",IF($C66&gt;=Parametros!$B$27,"OK","FALTAN "&amp;(Parametros!$B$27-$C66)))</f>
        <v/>
      </c>
      <c r="J66" s="56" t="str">
        <f aca="false">IF($C66=0,"",SUMIF('Registro de Fichas'!$D$7:$D$1200,$A66,'Registro de Fichas'!$M$7:$M$1200))</f>
        <v/>
      </c>
      <c r="K66" s="74" t="n">
        <f aca="false">COUNTIFS('Registro de Fichas'!$D$7:$D$1200,$A66,'Registro de Fichas'!$K$7:$K$1200,"Contenedores")</f>
        <v>0</v>
      </c>
      <c r="L66" s="74" t="n">
        <f aca="false">COUNTIFS('Registro de Fichas'!$D$7:$D$1200,$A66,'Registro de Fichas'!$K$7:$K$1200,"Granel solido")</f>
        <v>0</v>
      </c>
      <c r="M66" s="74" t="n">
        <f aca="false">COUNTIFS('Registro de Fichas'!$D$7:$D$1200,$A66,'Registro de Fichas'!$K$7:$K$1200,"Carga fraccionada")</f>
        <v>0</v>
      </c>
      <c r="N66" s="74" t="n">
        <f aca="false">COUNTIFS('Registro de Fichas'!$D$7:$D$1200,$A66,'Registro de Fichas'!$K$7:$K$1200,"Big bags")</f>
        <v>0</v>
      </c>
      <c r="O66" s="74" t="n">
        <f aca="false">COUNTIFS('Registro de Fichas'!$D$7:$D$1200,$A66,'Registro de Fichas'!$L$7:$L$1200,"Si")</f>
        <v>0</v>
      </c>
      <c r="P66" s="75" t="str">
        <f aca="false">IF($C66=0,"",IF($C66&lt;Parametros!$B$27,"EVIDENCIA INSUFICIENTE",IF(AND($D66&lt;&gt;"",$C66&lt;$D66*Parametros!$B$28),"BAJO % MUESTREO",IF($J66&lt;Parametros!$B$31,"POCOS EVALUADORES","VALIDA"))))</f>
        <v/>
      </c>
    </row>
    <row r="67" customFormat="false" ht="15" hidden="false" customHeight="true" outlineLevel="0" collapsed="false">
      <c r="A67" s="72"/>
      <c r="B67" s="13" t="str">
        <f aca="false">IFERROR(INDEX('Registro de Fichas'!$E$7:$E$1200,MATCH($A67,'Registro de Fichas'!$D$7:$D$1200,0)),"")</f>
        <v/>
      </c>
      <c r="C67" s="26" t="n">
        <f aca="false">COUNTIF('Registro de Fichas'!$D$7:$D$1200,$A67)</f>
        <v>0</v>
      </c>
      <c r="D67" s="72"/>
      <c r="E67" s="73" t="str">
        <f aca="false">IFERROR(AVERAGEIF('Registro de Fichas'!$D$7:$D$1200,$A67,'Registro de Fichas'!$G$7:$G$1200),"")</f>
        <v/>
      </c>
      <c r="F67" s="73" t="str">
        <f aca="false">IFERROR(AVERAGEIF('Registro de Fichas'!$D$7:$D$1200,$A67,'Registro de Fichas'!$H$7:$H$1200),"")</f>
        <v/>
      </c>
      <c r="G67" s="73" t="str">
        <f aca="false">IFERROR(AVERAGEIF('Registro de Fichas'!$D$7:$D$1200,$A67,'Registro de Fichas'!$I$7:$I$1200),"")</f>
        <v/>
      </c>
      <c r="H67" s="73" t="str">
        <f aca="false">IFERROR(AVERAGEIF('Registro de Fichas'!$D$7:$D$1200,$A67,'Registro de Fichas'!$J$7:$J$1200),"")</f>
        <v/>
      </c>
      <c r="I67" s="38" t="str">
        <f aca="false">IF($C67=0,"",IF($C67&gt;=Parametros!$B$27,"OK","FALTAN "&amp;(Parametros!$B$27-$C67)))</f>
        <v/>
      </c>
      <c r="J67" s="38" t="str">
        <f aca="false">IF($C67=0,"",SUMIF('Registro de Fichas'!$D$7:$D$1200,$A67,'Registro de Fichas'!$M$7:$M$1200))</f>
        <v/>
      </c>
      <c r="K67" s="26" t="n">
        <f aca="false">COUNTIFS('Registro de Fichas'!$D$7:$D$1200,$A67,'Registro de Fichas'!$K$7:$K$1200,"Contenedores")</f>
        <v>0</v>
      </c>
      <c r="L67" s="26" t="n">
        <f aca="false">COUNTIFS('Registro de Fichas'!$D$7:$D$1200,$A67,'Registro de Fichas'!$K$7:$K$1200,"Granel solido")</f>
        <v>0</v>
      </c>
      <c r="M67" s="26" t="n">
        <f aca="false">COUNTIFS('Registro de Fichas'!$D$7:$D$1200,$A67,'Registro de Fichas'!$K$7:$K$1200,"Carga fraccionada")</f>
        <v>0</v>
      </c>
      <c r="N67" s="26" t="n">
        <f aca="false">COUNTIFS('Registro de Fichas'!$D$7:$D$1200,$A67,'Registro de Fichas'!$K$7:$K$1200,"Big bags")</f>
        <v>0</v>
      </c>
      <c r="O67" s="26" t="n">
        <f aca="false">COUNTIFS('Registro de Fichas'!$D$7:$D$1200,$A67,'Registro de Fichas'!$L$7:$L$1200,"Si")</f>
        <v>0</v>
      </c>
      <c r="P67" s="23" t="str">
        <f aca="false">IF($C67=0,"",IF($C67&lt;Parametros!$B$27,"EVIDENCIA INSUFICIENTE",IF(AND($D67&lt;&gt;"",$C67&lt;$D67*Parametros!$B$28),"BAJO % MUESTREO",IF($J67&lt;Parametros!$B$31,"POCOS EVALUADORES","VALIDA"))))</f>
        <v/>
      </c>
    </row>
    <row r="68" customFormat="false" ht="15" hidden="false" customHeight="true" outlineLevel="0" collapsed="false">
      <c r="A68" s="72"/>
      <c r="B68" s="16" t="str">
        <f aca="false">IFERROR(INDEX('Registro de Fichas'!$E$7:$E$1200,MATCH($A68,'Registro de Fichas'!$D$7:$D$1200,0)),"")</f>
        <v/>
      </c>
      <c r="C68" s="74" t="n">
        <f aca="false">COUNTIF('Registro de Fichas'!$D$7:$D$1200,$A68)</f>
        <v>0</v>
      </c>
      <c r="D68" s="72"/>
      <c r="E68" s="73" t="str">
        <f aca="false">IFERROR(AVERAGEIF('Registro de Fichas'!$D$7:$D$1200,$A68,'Registro de Fichas'!$G$7:$G$1200),"")</f>
        <v/>
      </c>
      <c r="F68" s="73" t="str">
        <f aca="false">IFERROR(AVERAGEIF('Registro de Fichas'!$D$7:$D$1200,$A68,'Registro de Fichas'!$H$7:$H$1200),"")</f>
        <v/>
      </c>
      <c r="G68" s="73" t="str">
        <f aca="false">IFERROR(AVERAGEIF('Registro de Fichas'!$D$7:$D$1200,$A68,'Registro de Fichas'!$I$7:$I$1200),"")</f>
        <v/>
      </c>
      <c r="H68" s="73" t="str">
        <f aca="false">IFERROR(AVERAGEIF('Registro de Fichas'!$D$7:$D$1200,$A68,'Registro de Fichas'!$J$7:$J$1200),"")</f>
        <v/>
      </c>
      <c r="I68" s="56" t="str">
        <f aca="false">IF($C68=0,"",IF($C68&gt;=Parametros!$B$27,"OK","FALTAN "&amp;(Parametros!$B$27-$C68)))</f>
        <v/>
      </c>
      <c r="J68" s="56" t="str">
        <f aca="false">IF($C68=0,"",SUMIF('Registro de Fichas'!$D$7:$D$1200,$A68,'Registro de Fichas'!$M$7:$M$1200))</f>
        <v/>
      </c>
      <c r="K68" s="74" t="n">
        <f aca="false">COUNTIFS('Registro de Fichas'!$D$7:$D$1200,$A68,'Registro de Fichas'!$K$7:$K$1200,"Contenedores")</f>
        <v>0</v>
      </c>
      <c r="L68" s="74" t="n">
        <f aca="false">COUNTIFS('Registro de Fichas'!$D$7:$D$1200,$A68,'Registro de Fichas'!$K$7:$K$1200,"Granel solido")</f>
        <v>0</v>
      </c>
      <c r="M68" s="74" t="n">
        <f aca="false">COUNTIFS('Registro de Fichas'!$D$7:$D$1200,$A68,'Registro de Fichas'!$K$7:$K$1200,"Carga fraccionada")</f>
        <v>0</v>
      </c>
      <c r="N68" s="74" t="n">
        <f aca="false">COUNTIFS('Registro de Fichas'!$D$7:$D$1200,$A68,'Registro de Fichas'!$K$7:$K$1200,"Big bags")</f>
        <v>0</v>
      </c>
      <c r="O68" s="74" t="n">
        <f aca="false">COUNTIFS('Registro de Fichas'!$D$7:$D$1200,$A68,'Registro de Fichas'!$L$7:$L$1200,"Si")</f>
        <v>0</v>
      </c>
      <c r="P68" s="75" t="str">
        <f aca="false">IF($C68=0,"",IF($C68&lt;Parametros!$B$27,"EVIDENCIA INSUFICIENTE",IF(AND($D68&lt;&gt;"",$C68&lt;$D68*Parametros!$B$28),"BAJO % MUESTREO",IF($J68&lt;Parametros!$B$31,"POCOS EVALUADORES","VALIDA"))))</f>
        <v/>
      </c>
    </row>
    <row r="69" customFormat="false" ht="15" hidden="false" customHeight="true" outlineLevel="0" collapsed="false">
      <c r="A69" s="72"/>
      <c r="B69" s="13" t="str">
        <f aca="false">IFERROR(INDEX('Registro de Fichas'!$E$7:$E$1200,MATCH($A69,'Registro de Fichas'!$D$7:$D$1200,0)),"")</f>
        <v/>
      </c>
      <c r="C69" s="26" t="n">
        <f aca="false">COUNTIF('Registro de Fichas'!$D$7:$D$1200,$A69)</f>
        <v>0</v>
      </c>
      <c r="D69" s="72"/>
      <c r="E69" s="73" t="str">
        <f aca="false">IFERROR(AVERAGEIF('Registro de Fichas'!$D$7:$D$1200,$A69,'Registro de Fichas'!$G$7:$G$1200),"")</f>
        <v/>
      </c>
      <c r="F69" s="73" t="str">
        <f aca="false">IFERROR(AVERAGEIF('Registro de Fichas'!$D$7:$D$1200,$A69,'Registro de Fichas'!$H$7:$H$1200),"")</f>
        <v/>
      </c>
      <c r="G69" s="73" t="str">
        <f aca="false">IFERROR(AVERAGEIF('Registro de Fichas'!$D$7:$D$1200,$A69,'Registro de Fichas'!$I$7:$I$1200),"")</f>
        <v/>
      </c>
      <c r="H69" s="73" t="str">
        <f aca="false">IFERROR(AVERAGEIF('Registro de Fichas'!$D$7:$D$1200,$A69,'Registro de Fichas'!$J$7:$J$1200),"")</f>
        <v/>
      </c>
      <c r="I69" s="38" t="str">
        <f aca="false">IF($C69=0,"",IF($C69&gt;=Parametros!$B$27,"OK","FALTAN "&amp;(Parametros!$B$27-$C69)))</f>
        <v/>
      </c>
      <c r="J69" s="38" t="str">
        <f aca="false">IF($C69=0,"",SUMIF('Registro de Fichas'!$D$7:$D$1200,$A69,'Registro de Fichas'!$M$7:$M$1200))</f>
        <v/>
      </c>
      <c r="K69" s="26" t="n">
        <f aca="false">COUNTIFS('Registro de Fichas'!$D$7:$D$1200,$A69,'Registro de Fichas'!$K$7:$K$1200,"Contenedores")</f>
        <v>0</v>
      </c>
      <c r="L69" s="26" t="n">
        <f aca="false">COUNTIFS('Registro de Fichas'!$D$7:$D$1200,$A69,'Registro de Fichas'!$K$7:$K$1200,"Granel solido")</f>
        <v>0</v>
      </c>
      <c r="M69" s="26" t="n">
        <f aca="false">COUNTIFS('Registro de Fichas'!$D$7:$D$1200,$A69,'Registro de Fichas'!$K$7:$K$1200,"Carga fraccionada")</f>
        <v>0</v>
      </c>
      <c r="N69" s="26" t="n">
        <f aca="false">COUNTIFS('Registro de Fichas'!$D$7:$D$1200,$A69,'Registro de Fichas'!$K$7:$K$1200,"Big bags")</f>
        <v>0</v>
      </c>
      <c r="O69" s="26" t="n">
        <f aca="false">COUNTIFS('Registro de Fichas'!$D$7:$D$1200,$A69,'Registro de Fichas'!$L$7:$L$1200,"Si")</f>
        <v>0</v>
      </c>
      <c r="P69" s="23" t="str">
        <f aca="false">IF($C69=0,"",IF($C69&lt;Parametros!$B$27,"EVIDENCIA INSUFICIENTE",IF(AND($D69&lt;&gt;"",$C69&lt;$D69*Parametros!$B$28),"BAJO % MUESTREO",IF($J69&lt;Parametros!$B$31,"POCOS EVALUADORES","VALIDA"))))</f>
        <v/>
      </c>
    </row>
    <row r="70" customFormat="false" ht="15" hidden="false" customHeight="true" outlineLevel="0" collapsed="false">
      <c r="A70" s="72"/>
      <c r="B70" s="16" t="str">
        <f aca="false">IFERROR(INDEX('Registro de Fichas'!$E$7:$E$1200,MATCH($A70,'Registro de Fichas'!$D$7:$D$1200,0)),"")</f>
        <v/>
      </c>
      <c r="C70" s="74" t="n">
        <f aca="false">COUNTIF('Registro de Fichas'!$D$7:$D$1200,$A70)</f>
        <v>0</v>
      </c>
      <c r="D70" s="72"/>
      <c r="E70" s="73" t="str">
        <f aca="false">IFERROR(AVERAGEIF('Registro de Fichas'!$D$7:$D$1200,$A70,'Registro de Fichas'!$G$7:$G$1200),"")</f>
        <v/>
      </c>
      <c r="F70" s="73" t="str">
        <f aca="false">IFERROR(AVERAGEIF('Registro de Fichas'!$D$7:$D$1200,$A70,'Registro de Fichas'!$H$7:$H$1200),"")</f>
        <v/>
      </c>
      <c r="G70" s="73" t="str">
        <f aca="false">IFERROR(AVERAGEIF('Registro de Fichas'!$D$7:$D$1200,$A70,'Registro de Fichas'!$I$7:$I$1200),"")</f>
        <v/>
      </c>
      <c r="H70" s="73" t="str">
        <f aca="false">IFERROR(AVERAGEIF('Registro de Fichas'!$D$7:$D$1200,$A70,'Registro de Fichas'!$J$7:$J$1200),"")</f>
        <v/>
      </c>
      <c r="I70" s="56" t="str">
        <f aca="false">IF($C70=0,"",IF($C70&gt;=Parametros!$B$27,"OK","FALTAN "&amp;(Parametros!$B$27-$C70)))</f>
        <v/>
      </c>
      <c r="J70" s="56" t="str">
        <f aca="false">IF($C70=0,"",SUMIF('Registro de Fichas'!$D$7:$D$1200,$A70,'Registro de Fichas'!$M$7:$M$1200))</f>
        <v/>
      </c>
      <c r="K70" s="74" t="n">
        <f aca="false">COUNTIFS('Registro de Fichas'!$D$7:$D$1200,$A70,'Registro de Fichas'!$K$7:$K$1200,"Contenedores")</f>
        <v>0</v>
      </c>
      <c r="L70" s="74" t="n">
        <f aca="false">COUNTIFS('Registro de Fichas'!$D$7:$D$1200,$A70,'Registro de Fichas'!$K$7:$K$1200,"Granel solido")</f>
        <v>0</v>
      </c>
      <c r="M70" s="74" t="n">
        <f aca="false">COUNTIFS('Registro de Fichas'!$D$7:$D$1200,$A70,'Registro de Fichas'!$K$7:$K$1200,"Carga fraccionada")</f>
        <v>0</v>
      </c>
      <c r="N70" s="74" t="n">
        <f aca="false">COUNTIFS('Registro de Fichas'!$D$7:$D$1200,$A70,'Registro de Fichas'!$K$7:$K$1200,"Big bags")</f>
        <v>0</v>
      </c>
      <c r="O70" s="74" t="n">
        <f aca="false">COUNTIFS('Registro de Fichas'!$D$7:$D$1200,$A70,'Registro de Fichas'!$L$7:$L$1200,"Si")</f>
        <v>0</v>
      </c>
      <c r="P70" s="75" t="str">
        <f aca="false">IF($C70=0,"",IF($C70&lt;Parametros!$B$27,"EVIDENCIA INSUFICIENTE",IF(AND($D70&lt;&gt;"",$C70&lt;$D70*Parametros!$B$28),"BAJO % MUESTREO",IF($J70&lt;Parametros!$B$31,"POCOS EVALUADORES","VALIDA"))))</f>
        <v/>
      </c>
    </row>
    <row r="71" customFormat="false" ht="15" hidden="false" customHeight="true" outlineLevel="0" collapsed="false">
      <c r="A71" s="72"/>
      <c r="B71" s="13" t="str">
        <f aca="false">IFERROR(INDEX('Registro de Fichas'!$E$7:$E$1200,MATCH($A71,'Registro de Fichas'!$D$7:$D$1200,0)),"")</f>
        <v/>
      </c>
      <c r="C71" s="26" t="n">
        <f aca="false">COUNTIF('Registro de Fichas'!$D$7:$D$1200,$A71)</f>
        <v>0</v>
      </c>
      <c r="D71" s="72"/>
      <c r="E71" s="73" t="str">
        <f aca="false">IFERROR(AVERAGEIF('Registro de Fichas'!$D$7:$D$1200,$A71,'Registro de Fichas'!$G$7:$G$1200),"")</f>
        <v/>
      </c>
      <c r="F71" s="73" t="str">
        <f aca="false">IFERROR(AVERAGEIF('Registro de Fichas'!$D$7:$D$1200,$A71,'Registro de Fichas'!$H$7:$H$1200),"")</f>
        <v/>
      </c>
      <c r="G71" s="73" t="str">
        <f aca="false">IFERROR(AVERAGEIF('Registro de Fichas'!$D$7:$D$1200,$A71,'Registro de Fichas'!$I$7:$I$1200),"")</f>
        <v/>
      </c>
      <c r="H71" s="73" t="str">
        <f aca="false">IFERROR(AVERAGEIF('Registro de Fichas'!$D$7:$D$1200,$A71,'Registro de Fichas'!$J$7:$J$1200),"")</f>
        <v/>
      </c>
      <c r="I71" s="38" t="str">
        <f aca="false">IF($C71=0,"",IF($C71&gt;=Parametros!$B$27,"OK","FALTAN "&amp;(Parametros!$B$27-$C71)))</f>
        <v/>
      </c>
      <c r="J71" s="38" t="str">
        <f aca="false">IF($C71=0,"",SUMIF('Registro de Fichas'!$D$7:$D$1200,$A71,'Registro de Fichas'!$M$7:$M$1200))</f>
        <v/>
      </c>
      <c r="K71" s="26" t="n">
        <f aca="false">COUNTIFS('Registro de Fichas'!$D$7:$D$1200,$A71,'Registro de Fichas'!$K$7:$K$1200,"Contenedores")</f>
        <v>0</v>
      </c>
      <c r="L71" s="26" t="n">
        <f aca="false">COUNTIFS('Registro de Fichas'!$D$7:$D$1200,$A71,'Registro de Fichas'!$K$7:$K$1200,"Granel solido")</f>
        <v>0</v>
      </c>
      <c r="M71" s="26" t="n">
        <f aca="false">COUNTIFS('Registro de Fichas'!$D$7:$D$1200,$A71,'Registro de Fichas'!$K$7:$K$1200,"Carga fraccionada")</f>
        <v>0</v>
      </c>
      <c r="N71" s="26" t="n">
        <f aca="false">COUNTIFS('Registro de Fichas'!$D$7:$D$1200,$A71,'Registro de Fichas'!$K$7:$K$1200,"Big bags")</f>
        <v>0</v>
      </c>
      <c r="O71" s="26" t="n">
        <f aca="false">COUNTIFS('Registro de Fichas'!$D$7:$D$1200,$A71,'Registro de Fichas'!$L$7:$L$1200,"Si")</f>
        <v>0</v>
      </c>
      <c r="P71" s="23" t="str">
        <f aca="false">IF($C71=0,"",IF($C71&lt;Parametros!$B$27,"EVIDENCIA INSUFICIENTE",IF(AND($D71&lt;&gt;"",$C71&lt;$D71*Parametros!$B$28),"BAJO % MUESTREO",IF($J71&lt;Parametros!$B$31,"POCOS EVALUADORES","VALIDA"))))</f>
        <v/>
      </c>
    </row>
    <row r="72" customFormat="false" ht="15" hidden="false" customHeight="true" outlineLevel="0" collapsed="false">
      <c r="A72" s="72"/>
      <c r="B72" s="16" t="str">
        <f aca="false">IFERROR(INDEX('Registro de Fichas'!$E$7:$E$1200,MATCH($A72,'Registro de Fichas'!$D$7:$D$1200,0)),"")</f>
        <v/>
      </c>
      <c r="C72" s="74" t="n">
        <f aca="false">COUNTIF('Registro de Fichas'!$D$7:$D$1200,$A72)</f>
        <v>0</v>
      </c>
      <c r="D72" s="72"/>
      <c r="E72" s="73" t="str">
        <f aca="false">IFERROR(AVERAGEIF('Registro de Fichas'!$D$7:$D$1200,$A72,'Registro de Fichas'!$G$7:$G$1200),"")</f>
        <v/>
      </c>
      <c r="F72" s="73" t="str">
        <f aca="false">IFERROR(AVERAGEIF('Registro de Fichas'!$D$7:$D$1200,$A72,'Registro de Fichas'!$H$7:$H$1200),"")</f>
        <v/>
      </c>
      <c r="G72" s="73" t="str">
        <f aca="false">IFERROR(AVERAGEIF('Registro de Fichas'!$D$7:$D$1200,$A72,'Registro de Fichas'!$I$7:$I$1200),"")</f>
        <v/>
      </c>
      <c r="H72" s="73" t="str">
        <f aca="false">IFERROR(AVERAGEIF('Registro de Fichas'!$D$7:$D$1200,$A72,'Registro de Fichas'!$J$7:$J$1200),"")</f>
        <v/>
      </c>
      <c r="I72" s="56" t="str">
        <f aca="false">IF($C72=0,"",IF($C72&gt;=Parametros!$B$27,"OK","FALTAN "&amp;(Parametros!$B$27-$C72)))</f>
        <v/>
      </c>
      <c r="J72" s="56" t="str">
        <f aca="false">IF($C72=0,"",SUMIF('Registro de Fichas'!$D$7:$D$1200,$A72,'Registro de Fichas'!$M$7:$M$1200))</f>
        <v/>
      </c>
      <c r="K72" s="74" t="n">
        <f aca="false">COUNTIFS('Registro de Fichas'!$D$7:$D$1200,$A72,'Registro de Fichas'!$K$7:$K$1200,"Contenedores")</f>
        <v>0</v>
      </c>
      <c r="L72" s="74" t="n">
        <f aca="false">COUNTIFS('Registro de Fichas'!$D$7:$D$1200,$A72,'Registro de Fichas'!$K$7:$K$1200,"Granel solido")</f>
        <v>0</v>
      </c>
      <c r="M72" s="74" t="n">
        <f aca="false">COUNTIFS('Registro de Fichas'!$D$7:$D$1200,$A72,'Registro de Fichas'!$K$7:$K$1200,"Carga fraccionada")</f>
        <v>0</v>
      </c>
      <c r="N72" s="74" t="n">
        <f aca="false">COUNTIFS('Registro de Fichas'!$D$7:$D$1200,$A72,'Registro de Fichas'!$K$7:$K$1200,"Big bags")</f>
        <v>0</v>
      </c>
      <c r="O72" s="74" t="n">
        <f aca="false">COUNTIFS('Registro de Fichas'!$D$7:$D$1200,$A72,'Registro de Fichas'!$L$7:$L$1200,"Si")</f>
        <v>0</v>
      </c>
      <c r="P72" s="75" t="str">
        <f aca="false">IF($C72=0,"",IF($C72&lt;Parametros!$B$27,"EVIDENCIA INSUFICIENTE",IF(AND($D72&lt;&gt;"",$C72&lt;$D72*Parametros!$B$28),"BAJO % MUESTREO",IF($J72&lt;Parametros!$B$31,"POCOS EVALUADORES","VALIDA"))))</f>
        <v/>
      </c>
    </row>
    <row r="73" customFormat="false" ht="15" hidden="false" customHeight="true" outlineLevel="0" collapsed="false">
      <c r="A73" s="72"/>
      <c r="B73" s="13" t="str">
        <f aca="false">IFERROR(INDEX('Registro de Fichas'!$E$7:$E$1200,MATCH($A73,'Registro de Fichas'!$D$7:$D$1200,0)),"")</f>
        <v/>
      </c>
      <c r="C73" s="26" t="n">
        <f aca="false">COUNTIF('Registro de Fichas'!$D$7:$D$1200,$A73)</f>
        <v>0</v>
      </c>
      <c r="D73" s="72"/>
      <c r="E73" s="73" t="str">
        <f aca="false">IFERROR(AVERAGEIF('Registro de Fichas'!$D$7:$D$1200,$A73,'Registro de Fichas'!$G$7:$G$1200),"")</f>
        <v/>
      </c>
      <c r="F73" s="73" t="str">
        <f aca="false">IFERROR(AVERAGEIF('Registro de Fichas'!$D$7:$D$1200,$A73,'Registro de Fichas'!$H$7:$H$1200),"")</f>
        <v/>
      </c>
      <c r="G73" s="73" t="str">
        <f aca="false">IFERROR(AVERAGEIF('Registro de Fichas'!$D$7:$D$1200,$A73,'Registro de Fichas'!$I$7:$I$1200),"")</f>
        <v/>
      </c>
      <c r="H73" s="73" t="str">
        <f aca="false">IFERROR(AVERAGEIF('Registro de Fichas'!$D$7:$D$1200,$A73,'Registro de Fichas'!$J$7:$J$1200),"")</f>
        <v/>
      </c>
      <c r="I73" s="38" t="str">
        <f aca="false">IF($C73=0,"",IF($C73&gt;=Parametros!$B$27,"OK","FALTAN "&amp;(Parametros!$B$27-$C73)))</f>
        <v/>
      </c>
      <c r="J73" s="38" t="str">
        <f aca="false">IF($C73=0,"",SUMIF('Registro de Fichas'!$D$7:$D$1200,$A73,'Registro de Fichas'!$M$7:$M$1200))</f>
        <v/>
      </c>
      <c r="K73" s="26" t="n">
        <f aca="false">COUNTIFS('Registro de Fichas'!$D$7:$D$1200,$A73,'Registro de Fichas'!$K$7:$K$1200,"Contenedores")</f>
        <v>0</v>
      </c>
      <c r="L73" s="26" t="n">
        <f aca="false">COUNTIFS('Registro de Fichas'!$D$7:$D$1200,$A73,'Registro de Fichas'!$K$7:$K$1200,"Granel solido")</f>
        <v>0</v>
      </c>
      <c r="M73" s="26" t="n">
        <f aca="false">COUNTIFS('Registro de Fichas'!$D$7:$D$1200,$A73,'Registro de Fichas'!$K$7:$K$1200,"Carga fraccionada")</f>
        <v>0</v>
      </c>
      <c r="N73" s="26" t="n">
        <f aca="false">COUNTIFS('Registro de Fichas'!$D$7:$D$1200,$A73,'Registro de Fichas'!$K$7:$K$1200,"Big bags")</f>
        <v>0</v>
      </c>
      <c r="O73" s="26" t="n">
        <f aca="false">COUNTIFS('Registro de Fichas'!$D$7:$D$1200,$A73,'Registro de Fichas'!$L$7:$L$1200,"Si")</f>
        <v>0</v>
      </c>
      <c r="P73" s="23" t="str">
        <f aca="false">IF($C73=0,"",IF($C73&lt;Parametros!$B$27,"EVIDENCIA INSUFICIENTE",IF(AND($D73&lt;&gt;"",$C73&lt;$D73*Parametros!$B$28),"BAJO % MUESTREO",IF($J73&lt;Parametros!$B$31,"POCOS EVALUADORES","VALIDA"))))</f>
        <v/>
      </c>
    </row>
    <row r="74" customFormat="false" ht="15" hidden="false" customHeight="true" outlineLevel="0" collapsed="false">
      <c r="A74" s="72"/>
      <c r="B74" s="16" t="str">
        <f aca="false">IFERROR(INDEX('Registro de Fichas'!$E$7:$E$1200,MATCH($A74,'Registro de Fichas'!$D$7:$D$1200,0)),"")</f>
        <v/>
      </c>
      <c r="C74" s="74" t="n">
        <f aca="false">COUNTIF('Registro de Fichas'!$D$7:$D$1200,$A74)</f>
        <v>0</v>
      </c>
      <c r="D74" s="72"/>
      <c r="E74" s="73" t="str">
        <f aca="false">IFERROR(AVERAGEIF('Registro de Fichas'!$D$7:$D$1200,$A74,'Registro de Fichas'!$G$7:$G$1200),"")</f>
        <v/>
      </c>
      <c r="F74" s="73" t="str">
        <f aca="false">IFERROR(AVERAGEIF('Registro de Fichas'!$D$7:$D$1200,$A74,'Registro de Fichas'!$H$7:$H$1200),"")</f>
        <v/>
      </c>
      <c r="G74" s="73" t="str">
        <f aca="false">IFERROR(AVERAGEIF('Registro de Fichas'!$D$7:$D$1200,$A74,'Registro de Fichas'!$I$7:$I$1200),"")</f>
        <v/>
      </c>
      <c r="H74" s="73" t="str">
        <f aca="false">IFERROR(AVERAGEIF('Registro de Fichas'!$D$7:$D$1200,$A74,'Registro de Fichas'!$J$7:$J$1200),"")</f>
        <v/>
      </c>
      <c r="I74" s="56" t="str">
        <f aca="false">IF($C74=0,"",IF($C74&gt;=Parametros!$B$27,"OK","FALTAN "&amp;(Parametros!$B$27-$C74)))</f>
        <v/>
      </c>
      <c r="J74" s="56" t="str">
        <f aca="false">IF($C74=0,"",SUMIF('Registro de Fichas'!$D$7:$D$1200,$A74,'Registro de Fichas'!$M$7:$M$1200))</f>
        <v/>
      </c>
      <c r="K74" s="74" t="n">
        <f aca="false">COUNTIFS('Registro de Fichas'!$D$7:$D$1200,$A74,'Registro de Fichas'!$K$7:$K$1200,"Contenedores")</f>
        <v>0</v>
      </c>
      <c r="L74" s="74" t="n">
        <f aca="false">COUNTIFS('Registro de Fichas'!$D$7:$D$1200,$A74,'Registro de Fichas'!$K$7:$K$1200,"Granel solido")</f>
        <v>0</v>
      </c>
      <c r="M74" s="74" t="n">
        <f aca="false">COUNTIFS('Registro de Fichas'!$D$7:$D$1200,$A74,'Registro de Fichas'!$K$7:$K$1200,"Carga fraccionada")</f>
        <v>0</v>
      </c>
      <c r="N74" s="74" t="n">
        <f aca="false">COUNTIFS('Registro de Fichas'!$D$7:$D$1200,$A74,'Registro de Fichas'!$K$7:$K$1200,"Big bags")</f>
        <v>0</v>
      </c>
      <c r="O74" s="74" t="n">
        <f aca="false">COUNTIFS('Registro de Fichas'!$D$7:$D$1200,$A74,'Registro de Fichas'!$L$7:$L$1200,"Si")</f>
        <v>0</v>
      </c>
      <c r="P74" s="75" t="str">
        <f aca="false">IF($C74=0,"",IF($C74&lt;Parametros!$B$27,"EVIDENCIA INSUFICIENTE",IF(AND($D74&lt;&gt;"",$C74&lt;$D74*Parametros!$B$28),"BAJO % MUESTREO",IF($J74&lt;Parametros!$B$31,"POCOS EVALUADORES","VALIDA"))))</f>
        <v/>
      </c>
    </row>
    <row r="75" customFormat="false" ht="15" hidden="false" customHeight="true" outlineLevel="0" collapsed="false">
      <c r="A75" s="72"/>
      <c r="B75" s="13" t="str">
        <f aca="false">IFERROR(INDEX('Registro de Fichas'!$E$7:$E$1200,MATCH($A75,'Registro de Fichas'!$D$7:$D$1200,0)),"")</f>
        <v/>
      </c>
      <c r="C75" s="26" t="n">
        <f aca="false">COUNTIF('Registro de Fichas'!$D$7:$D$1200,$A75)</f>
        <v>0</v>
      </c>
      <c r="D75" s="72"/>
      <c r="E75" s="73" t="str">
        <f aca="false">IFERROR(AVERAGEIF('Registro de Fichas'!$D$7:$D$1200,$A75,'Registro de Fichas'!$G$7:$G$1200),"")</f>
        <v/>
      </c>
      <c r="F75" s="73" t="str">
        <f aca="false">IFERROR(AVERAGEIF('Registro de Fichas'!$D$7:$D$1200,$A75,'Registro de Fichas'!$H$7:$H$1200),"")</f>
        <v/>
      </c>
      <c r="G75" s="73" t="str">
        <f aca="false">IFERROR(AVERAGEIF('Registro de Fichas'!$D$7:$D$1200,$A75,'Registro de Fichas'!$I$7:$I$1200),"")</f>
        <v/>
      </c>
      <c r="H75" s="73" t="str">
        <f aca="false">IFERROR(AVERAGEIF('Registro de Fichas'!$D$7:$D$1200,$A75,'Registro de Fichas'!$J$7:$J$1200),"")</f>
        <v/>
      </c>
      <c r="I75" s="38" t="str">
        <f aca="false">IF($C75=0,"",IF($C75&gt;=Parametros!$B$27,"OK","FALTAN "&amp;(Parametros!$B$27-$C75)))</f>
        <v/>
      </c>
      <c r="J75" s="38" t="str">
        <f aca="false">IF($C75=0,"",SUMIF('Registro de Fichas'!$D$7:$D$1200,$A75,'Registro de Fichas'!$M$7:$M$1200))</f>
        <v/>
      </c>
      <c r="K75" s="26" t="n">
        <f aca="false">COUNTIFS('Registro de Fichas'!$D$7:$D$1200,$A75,'Registro de Fichas'!$K$7:$K$1200,"Contenedores")</f>
        <v>0</v>
      </c>
      <c r="L75" s="26" t="n">
        <f aca="false">COUNTIFS('Registro de Fichas'!$D$7:$D$1200,$A75,'Registro de Fichas'!$K$7:$K$1200,"Granel solido")</f>
        <v>0</v>
      </c>
      <c r="M75" s="26" t="n">
        <f aca="false">COUNTIFS('Registro de Fichas'!$D$7:$D$1200,$A75,'Registro de Fichas'!$K$7:$K$1200,"Carga fraccionada")</f>
        <v>0</v>
      </c>
      <c r="N75" s="26" t="n">
        <f aca="false">COUNTIFS('Registro de Fichas'!$D$7:$D$1200,$A75,'Registro de Fichas'!$K$7:$K$1200,"Big bags")</f>
        <v>0</v>
      </c>
      <c r="O75" s="26" t="n">
        <f aca="false">COUNTIFS('Registro de Fichas'!$D$7:$D$1200,$A75,'Registro de Fichas'!$L$7:$L$1200,"Si")</f>
        <v>0</v>
      </c>
      <c r="P75" s="23" t="str">
        <f aca="false">IF($C75=0,"",IF($C75&lt;Parametros!$B$27,"EVIDENCIA INSUFICIENTE",IF(AND($D75&lt;&gt;"",$C75&lt;$D75*Parametros!$B$28),"BAJO % MUESTREO",IF($J75&lt;Parametros!$B$31,"POCOS EVALUADORES","VALIDA"))))</f>
        <v/>
      </c>
    </row>
    <row r="76" customFormat="false" ht="15" hidden="false" customHeight="true" outlineLevel="0" collapsed="false">
      <c r="A76" s="72"/>
      <c r="B76" s="16" t="str">
        <f aca="false">IFERROR(INDEX('Registro de Fichas'!$E$7:$E$1200,MATCH($A76,'Registro de Fichas'!$D$7:$D$1200,0)),"")</f>
        <v/>
      </c>
      <c r="C76" s="74" t="n">
        <f aca="false">COUNTIF('Registro de Fichas'!$D$7:$D$1200,$A76)</f>
        <v>0</v>
      </c>
      <c r="D76" s="72"/>
      <c r="E76" s="73" t="str">
        <f aca="false">IFERROR(AVERAGEIF('Registro de Fichas'!$D$7:$D$1200,$A76,'Registro de Fichas'!$G$7:$G$1200),"")</f>
        <v/>
      </c>
      <c r="F76" s="73" t="str">
        <f aca="false">IFERROR(AVERAGEIF('Registro de Fichas'!$D$7:$D$1200,$A76,'Registro de Fichas'!$H$7:$H$1200),"")</f>
        <v/>
      </c>
      <c r="G76" s="73" t="str">
        <f aca="false">IFERROR(AVERAGEIF('Registro de Fichas'!$D$7:$D$1200,$A76,'Registro de Fichas'!$I$7:$I$1200),"")</f>
        <v/>
      </c>
      <c r="H76" s="73" t="str">
        <f aca="false">IFERROR(AVERAGEIF('Registro de Fichas'!$D$7:$D$1200,$A76,'Registro de Fichas'!$J$7:$J$1200),"")</f>
        <v/>
      </c>
      <c r="I76" s="56" t="str">
        <f aca="false">IF($C76=0,"",IF($C76&gt;=Parametros!$B$27,"OK","FALTAN "&amp;(Parametros!$B$27-$C76)))</f>
        <v/>
      </c>
      <c r="J76" s="56" t="str">
        <f aca="false">IF($C76=0,"",SUMIF('Registro de Fichas'!$D$7:$D$1200,$A76,'Registro de Fichas'!$M$7:$M$1200))</f>
        <v/>
      </c>
      <c r="K76" s="74" t="n">
        <f aca="false">COUNTIFS('Registro de Fichas'!$D$7:$D$1200,$A76,'Registro de Fichas'!$K$7:$K$1200,"Contenedores")</f>
        <v>0</v>
      </c>
      <c r="L76" s="74" t="n">
        <f aca="false">COUNTIFS('Registro de Fichas'!$D$7:$D$1200,$A76,'Registro de Fichas'!$K$7:$K$1200,"Granel solido")</f>
        <v>0</v>
      </c>
      <c r="M76" s="74" t="n">
        <f aca="false">COUNTIFS('Registro de Fichas'!$D$7:$D$1200,$A76,'Registro de Fichas'!$K$7:$K$1200,"Carga fraccionada")</f>
        <v>0</v>
      </c>
      <c r="N76" s="74" t="n">
        <f aca="false">COUNTIFS('Registro de Fichas'!$D$7:$D$1200,$A76,'Registro de Fichas'!$K$7:$K$1200,"Big bags")</f>
        <v>0</v>
      </c>
      <c r="O76" s="74" t="n">
        <f aca="false">COUNTIFS('Registro de Fichas'!$D$7:$D$1200,$A76,'Registro de Fichas'!$L$7:$L$1200,"Si")</f>
        <v>0</v>
      </c>
      <c r="P76" s="75" t="str">
        <f aca="false">IF($C76=0,"",IF($C76&lt;Parametros!$B$27,"EVIDENCIA INSUFICIENTE",IF(AND($D76&lt;&gt;"",$C76&lt;$D76*Parametros!$B$28),"BAJO % MUESTREO",IF($J76&lt;Parametros!$B$31,"POCOS EVALUADORES","VALIDA"))))</f>
        <v/>
      </c>
    </row>
    <row r="77" customFormat="false" ht="15" hidden="false" customHeight="true" outlineLevel="0" collapsed="false">
      <c r="A77" s="72"/>
      <c r="B77" s="13" t="str">
        <f aca="false">IFERROR(INDEX('Registro de Fichas'!$E$7:$E$1200,MATCH($A77,'Registro de Fichas'!$D$7:$D$1200,0)),"")</f>
        <v/>
      </c>
      <c r="C77" s="26" t="n">
        <f aca="false">COUNTIF('Registro de Fichas'!$D$7:$D$1200,$A77)</f>
        <v>0</v>
      </c>
      <c r="D77" s="72"/>
      <c r="E77" s="73" t="str">
        <f aca="false">IFERROR(AVERAGEIF('Registro de Fichas'!$D$7:$D$1200,$A77,'Registro de Fichas'!$G$7:$G$1200),"")</f>
        <v/>
      </c>
      <c r="F77" s="73" t="str">
        <f aca="false">IFERROR(AVERAGEIF('Registro de Fichas'!$D$7:$D$1200,$A77,'Registro de Fichas'!$H$7:$H$1200),"")</f>
        <v/>
      </c>
      <c r="G77" s="73" t="str">
        <f aca="false">IFERROR(AVERAGEIF('Registro de Fichas'!$D$7:$D$1200,$A77,'Registro de Fichas'!$I$7:$I$1200),"")</f>
        <v/>
      </c>
      <c r="H77" s="73" t="str">
        <f aca="false">IFERROR(AVERAGEIF('Registro de Fichas'!$D$7:$D$1200,$A77,'Registro de Fichas'!$J$7:$J$1200),"")</f>
        <v/>
      </c>
      <c r="I77" s="38" t="str">
        <f aca="false">IF($C77=0,"",IF($C77&gt;=Parametros!$B$27,"OK","FALTAN "&amp;(Parametros!$B$27-$C77)))</f>
        <v/>
      </c>
      <c r="J77" s="38" t="str">
        <f aca="false">IF($C77=0,"",SUMIF('Registro de Fichas'!$D$7:$D$1200,$A77,'Registro de Fichas'!$M$7:$M$1200))</f>
        <v/>
      </c>
      <c r="K77" s="26" t="n">
        <f aca="false">COUNTIFS('Registro de Fichas'!$D$7:$D$1200,$A77,'Registro de Fichas'!$K$7:$K$1200,"Contenedores")</f>
        <v>0</v>
      </c>
      <c r="L77" s="26" t="n">
        <f aca="false">COUNTIFS('Registro de Fichas'!$D$7:$D$1200,$A77,'Registro de Fichas'!$K$7:$K$1200,"Granel solido")</f>
        <v>0</v>
      </c>
      <c r="M77" s="26" t="n">
        <f aca="false">COUNTIFS('Registro de Fichas'!$D$7:$D$1200,$A77,'Registro de Fichas'!$K$7:$K$1200,"Carga fraccionada")</f>
        <v>0</v>
      </c>
      <c r="N77" s="26" t="n">
        <f aca="false">COUNTIFS('Registro de Fichas'!$D$7:$D$1200,$A77,'Registro de Fichas'!$K$7:$K$1200,"Big bags")</f>
        <v>0</v>
      </c>
      <c r="O77" s="26" t="n">
        <f aca="false">COUNTIFS('Registro de Fichas'!$D$7:$D$1200,$A77,'Registro de Fichas'!$L$7:$L$1200,"Si")</f>
        <v>0</v>
      </c>
      <c r="P77" s="23" t="str">
        <f aca="false">IF($C77=0,"",IF($C77&lt;Parametros!$B$27,"EVIDENCIA INSUFICIENTE",IF(AND($D77&lt;&gt;"",$C77&lt;$D77*Parametros!$B$28),"BAJO % MUESTREO",IF($J77&lt;Parametros!$B$31,"POCOS EVALUADORES","VALIDA"))))</f>
        <v/>
      </c>
    </row>
    <row r="78" customFormat="false" ht="15" hidden="false" customHeight="true" outlineLevel="0" collapsed="false">
      <c r="A78" s="72"/>
      <c r="B78" s="16" t="str">
        <f aca="false">IFERROR(INDEX('Registro de Fichas'!$E$7:$E$1200,MATCH($A78,'Registro de Fichas'!$D$7:$D$1200,0)),"")</f>
        <v/>
      </c>
      <c r="C78" s="74" t="n">
        <f aca="false">COUNTIF('Registro de Fichas'!$D$7:$D$1200,$A78)</f>
        <v>0</v>
      </c>
      <c r="D78" s="72"/>
      <c r="E78" s="73" t="str">
        <f aca="false">IFERROR(AVERAGEIF('Registro de Fichas'!$D$7:$D$1200,$A78,'Registro de Fichas'!$G$7:$G$1200),"")</f>
        <v/>
      </c>
      <c r="F78" s="73" t="str">
        <f aca="false">IFERROR(AVERAGEIF('Registro de Fichas'!$D$7:$D$1200,$A78,'Registro de Fichas'!$H$7:$H$1200),"")</f>
        <v/>
      </c>
      <c r="G78" s="73" t="str">
        <f aca="false">IFERROR(AVERAGEIF('Registro de Fichas'!$D$7:$D$1200,$A78,'Registro de Fichas'!$I$7:$I$1200),"")</f>
        <v/>
      </c>
      <c r="H78" s="73" t="str">
        <f aca="false">IFERROR(AVERAGEIF('Registro de Fichas'!$D$7:$D$1200,$A78,'Registro de Fichas'!$J$7:$J$1200),"")</f>
        <v/>
      </c>
      <c r="I78" s="56" t="str">
        <f aca="false">IF($C78=0,"",IF($C78&gt;=Parametros!$B$27,"OK","FALTAN "&amp;(Parametros!$B$27-$C78)))</f>
        <v/>
      </c>
      <c r="J78" s="56" t="str">
        <f aca="false">IF($C78=0,"",SUMIF('Registro de Fichas'!$D$7:$D$1200,$A78,'Registro de Fichas'!$M$7:$M$1200))</f>
        <v/>
      </c>
      <c r="K78" s="74" t="n">
        <f aca="false">COUNTIFS('Registro de Fichas'!$D$7:$D$1200,$A78,'Registro de Fichas'!$K$7:$K$1200,"Contenedores")</f>
        <v>0</v>
      </c>
      <c r="L78" s="74" t="n">
        <f aca="false">COUNTIFS('Registro de Fichas'!$D$7:$D$1200,$A78,'Registro de Fichas'!$K$7:$K$1200,"Granel solido")</f>
        <v>0</v>
      </c>
      <c r="M78" s="74" t="n">
        <f aca="false">COUNTIFS('Registro de Fichas'!$D$7:$D$1200,$A78,'Registro de Fichas'!$K$7:$K$1200,"Carga fraccionada")</f>
        <v>0</v>
      </c>
      <c r="N78" s="74" t="n">
        <f aca="false">COUNTIFS('Registro de Fichas'!$D$7:$D$1200,$A78,'Registro de Fichas'!$K$7:$K$1200,"Big bags")</f>
        <v>0</v>
      </c>
      <c r="O78" s="74" t="n">
        <f aca="false">COUNTIFS('Registro de Fichas'!$D$7:$D$1200,$A78,'Registro de Fichas'!$L$7:$L$1200,"Si")</f>
        <v>0</v>
      </c>
      <c r="P78" s="75" t="str">
        <f aca="false">IF($C78=0,"",IF($C78&lt;Parametros!$B$27,"EVIDENCIA INSUFICIENTE",IF(AND($D78&lt;&gt;"",$C78&lt;$D78*Parametros!$B$28),"BAJO % MUESTREO",IF($J78&lt;Parametros!$B$31,"POCOS EVALUADORES","VALIDA"))))</f>
        <v/>
      </c>
    </row>
    <row r="79" customFormat="false" ht="15" hidden="false" customHeight="true" outlineLevel="0" collapsed="false">
      <c r="A79" s="72"/>
      <c r="B79" s="13" t="str">
        <f aca="false">IFERROR(INDEX('Registro de Fichas'!$E$7:$E$1200,MATCH($A79,'Registro de Fichas'!$D$7:$D$1200,0)),"")</f>
        <v/>
      </c>
      <c r="C79" s="26" t="n">
        <f aca="false">COUNTIF('Registro de Fichas'!$D$7:$D$1200,$A79)</f>
        <v>0</v>
      </c>
      <c r="D79" s="72"/>
      <c r="E79" s="73" t="str">
        <f aca="false">IFERROR(AVERAGEIF('Registro de Fichas'!$D$7:$D$1200,$A79,'Registro de Fichas'!$G$7:$G$1200),"")</f>
        <v/>
      </c>
      <c r="F79" s="73" t="str">
        <f aca="false">IFERROR(AVERAGEIF('Registro de Fichas'!$D$7:$D$1200,$A79,'Registro de Fichas'!$H$7:$H$1200),"")</f>
        <v/>
      </c>
      <c r="G79" s="73" t="str">
        <f aca="false">IFERROR(AVERAGEIF('Registro de Fichas'!$D$7:$D$1200,$A79,'Registro de Fichas'!$I$7:$I$1200),"")</f>
        <v/>
      </c>
      <c r="H79" s="73" t="str">
        <f aca="false">IFERROR(AVERAGEIF('Registro de Fichas'!$D$7:$D$1200,$A79,'Registro de Fichas'!$J$7:$J$1200),"")</f>
        <v/>
      </c>
      <c r="I79" s="38" t="str">
        <f aca="false">IF($C79=0,"",IF($C79&gt;=Parametros!$B$27,"OK","FALTAN "&amp;(Parametros!$B$27-$C79)))</f>
        <v/>
      </c>
      <c r="J79" s="38" t="str">
        <f aca="false">IF($C79=0,"",SUMIF('Registro de Fichas'!$D$7:$D$1200,$A79,'Registro de Fichas'!$M$7:$M$1200))</f>
        <v/>
      </c>
      <c r="K79" s="26" t="n">
        <f aca="false">COUNTIFS('Registro de Fichas'!$D$7:$D$1200,$A79,'Registro de Fichas'!$K$7:$K$1200,"Contenedores")</f>
        <v>0</v>
      </c>
      <c r="L79" s="26" t="n">
        <f aca="false">COUNTIFS('Registro de Fichas'!$D$7:$D$1200,$A79,'Registro de Fichas'!$K$7:$K$1200,"Granel solido")</f>
        <v>0</v>
      </c>
      <c r="M79" s="26" t="n">
        <f aca="false">COUNTIFS('Registro de Fichas'!$D$7:$D$1200,$A79,'Registro de Fichas'!$K$7:$K$1200,"Carga fraccionada")</f>
        <v>0</v>
      </c>
      <c r="N79" s="26" t="n">
        <f aca="false">COUNTIFS('Registro de Fichas'!$D$7:$D$1200,$A79,'Registro de Fichas'!$K$7:$K$1200,"Big bags")</f>
        <v>0</v>
      </c>
      <c r="O79" s="26" t="n">
        <f aca="false">COUNTIFS('Registro de Fichas'!$D$7:$D$1200,$A79,'Registro de Fichas'!$L$7:$L$1200,"Si")</f>
        <v>0</v>
      </c>
      <c r="P79" s="23" t="str">
        <f aca="false">IF($C79=0,"",IF($C79&lt;Parametros!$B$27,"EVIDENCIA INSUFICIENTE",IF(AND($D79&lt;&gt;"",$C79&lt;$D79*Parametros!$B$28),"BAJO % MUESTREO",IF($J79&lt;Parametros!$B$31,"POCOS EVALUADORES","VALIDA"))))</f>
        <v/>
      </c>
    </row>
    <row r="80" customFormat="false" ht="15" hidden="false" customHeight="true" outlineLevel="0" collapsed="false">
      <c r="A80" s="72"/>
      <c r="B80" s="16" t="str">
        <f aca="false">IFERROR(INDEX('Registro de Fichas'!$E$7:$E$1200,MATCH($A80,'Registro de Fichas'!$D$7:$D$1200,0)),"")</f>
        <v/>
      </c>
      <c r="C80" s="74" t="n">
        <f aca="false">COUNTIF('Registro de Fichas'!$D$7:$D$1200,$A80)</f>
        <v>0</v>
      </c>
      <c r="D80" s="72"/>
      <c r="E80" s="73" t="str">
        <f aca="false">IFERROR(AVERAGEIF('Registro de Fichas'!$D$7:$D$1200,$A80,'Registro de Fichas'!$G$7:$G$1200),"")</f>
        <v/>
      </c>
      <c r="F80" s="73" t="str">
        <f aca="false">IFERROR(AVERAGEIF('Registro de Fichas'!$D$7:$D$1200,$A80,'Registro de Fichas'!$H$7:$H$1200),"")</f>
        <v/>
      </c>
      <c r="G80" s="73" t="str">
        <f aca="false">IFERROR(AVERAGEIF('Registro de Fichas'!$D$7:$D$1200,$A80,'Registro de Fichas'!$I$7:$I$1200),"")</f>
        <v/>
      </c>
      <c r="H80" s="73" t="str">
        <f aca="false">IFERROR(AVERAGEIF('Registro de Fichas'!$D$7:$D$1200,$A80,'Registro de Fichas'!$J$7:$J$1200),"")</f>
        <v/>
      </c>
      <c r="I80" s="56" t="str">
        <f aca="false">IF($C80=0,"",IF($C80&gt;=Parametros!$B$27,"OK","FALTAN "&amp;(Parametros!$B$27-$C80)))</f>
        <v/>
      </c>
      <c r="J80" s="56" t="str">
        <f aca="false">IF($C80=0,"",SUMIF('Registro de Fichas'!$D$7:$D$1200,$A80,'Registro de Fichas'!$M$7:$M$1200))</f>
        <v/>
      </c>
      <c r="K80" s="74" t="n">
        <f aca="false">COUNTIFS('Registro de Fichas'!$D$7:$D$1200,$A80,'Registro de Fichas'!$K$7:$K$1200,"Contenedores")</f>
        <v>0</v>
      </c>
      <c r="L80" s="74" t="n">
        <f aca="false">COUNTIFS('Registro de Fichas'!$D$7:$D$1200,$A80,'Registro de Fichas'!$K$7:$K$1200,"Granel solido")</f>
        <v>0</v>
      </c>
      <c r="M80" s="74" t="n">
        <f aca="false">COUNTIFS('Registro de Fichas'!$D$7:$D$1200,$A80,'Registro de Fichas'!$K$7:$K$1200,"Carga fraccionada")</f>
        <v>0</v>
      </c>
      <c r="N80" s="74" t="n">
        <f aca="false">COUNTIFS('Registro de Fichas'!$D$7:$D$1200,$A80,'Registro de Fichas'!$K$7:$K$1200,"Big bags")</f>
        <v>0</v>
      </c>
      <c r="O80" s="74" t="n">
        <f aca="false">COUNTIFS('Registro de Fichas'!$D$7:$D$1200,$A80,'Registro de Fichas'!$L$7:$L$1200,"Si")</f>
        <v>0</v>
      </c>
      <c r="P80" s="75" t="str">
        <f aca="false">IF($C80=0,"",IF($C80&lt;Parametros!$B$27,"EVIDENCIA INSUFICIENTE",IF(AND($D80&lt;&gt;"",$C80&lt;$D80*Parametros!$B$28),"BAJO % MUESTREO",IF($J80&lt;Parametros!$B$31,"POCOS EVALUADORES","VALIDA"))))</f>
        <v/>
      </c>
    </row>
    <row r="81" customFormat="false" ht="15" hidden="false" customHeight="true" outlineLevel="0" collapsed="false">
      <c r="A81" s="72"/>
      <c r="B81" s="13" t="str">
        <f aca="false">IFERROR(INDEX('Registro de Fichas'!$E$7:$E$1200,MATCH($A81,'Registro de Fichas'!$D$7:$D$1200,0)),"")</f>
        <v/>
      </c>
      <c r="C81" s="26" t="n">
        <f aca="false">COUNTIF('Registro de Fichas'!$D$7:$D$1200,$A81)</f>
        <v>0</v>
      </c>
      <c r="D81" s="72"/>
      <c r="E81" s="73" t="str">
        <f aca="false">IFERROR(AVERAGEIF('Registro de Fichas'!$D$7:$D$1200,$A81,'Registro de Fichas'!$G$7:$G$1200),"")</f>
        <v/>
      </c>
      <c r="F81" s="73" t="str">
        <f aca="false">IFERROR(AVERAGEIF('Registro de Fichas'!$D$7:$D$1200,$A81,'Registro de Fichas'!$H$7:$H$1200),"")</f>
        <v/>
      </c>
      <c r="G81" s="73" t="str">
        <f aca="false">IFERROR(AVERAGEIF('Registro de Fichas'!$D$7:$D$1200,$A81,'Registro de Fichas'!$I$7:$I$1200),"")</f>
        <v/>
      </c>
      <c r="H81" s="73" t="str">
        <f aca="false">IFERROR(AVERAGEIF('Registro de Fichas'!$D$7:$D$1200,$A81,'Registro de Fichas'!$J$7:$J$1200),"")</f>
        <v/>
      </c>
      <c r="I81" s="38" t="str">
        <f aca="false">IF($C81=0,"",IF($C81&gt;=Parametros!$B$27,"OK","FALTAN "&amp;(Parametros!$B$27-$C81)))</f>
        <v/>
      </c>
      <c r="J81" s="38" t="str">
        <f aca="false">IF($C81=0,"",SUMIF('Registro de Fichas'!$D$7:$D$1200,$A81,'Registro de Fichas'!$M$7:$M$1200))</f>
        <v/>
      </c>
      <c r="K81" s="26" t="n">
        <f aca="false">COUNTIFS('Registro de Fichas'!$D$7:$D$1200,$A81,'Registro de Fichas'!$K$7:$K$1200,"Contenedores")</f>
        <v>0</v>
      </c>
      <c r="L81" s="26" t="n">
        <f aca="false">COUNTIFS('Registro de Fichas'!$D$7:$D$1200,$A81,'Registro de Fichas'!$K$7:$K$1200,"Granel solido")</f>
        <v>0</v>
      </c>
      <c r="M81" s="26" t="n">
        <f aca="false">COUNTIFS('Registro de Fichas'!$D$7:$D$1200,$A81,'Registro de Fichas'!$K$7:$K$1200,"Carga fraccionada")</f>
        <v>0</v>
      </c>
      <c r="N81" s="26" t="n">
        <f aca="false">COUNTIFS('Registro de Fichas'!$D$7:$D$1200,$A81,'Registro de Fichas'!$K$7:$K$1200,"Big bags")</f>
        <v>0</v>
      </c>
      <c r="O81" s="26" t="n">
        <f aca="false">COUNTIFS('Registro de Fichas'!$D$7:$D$1200,$A81,'Registro de Fichas'!$L$7:$L$1200,"Si")</f>
        <v>0</v>
      </c>
      <c r="P81" s="23" t="str">
        <f aca="false">IF($C81=0,"",IF($C81&lt;Parametros!$B$27,"EVIDENCIA INSUFICIENTE",IF(AND($D81&lt;&gt;"",$C81&lt;$D81*Parametros!$B$28),"BAJO % MUESTREO",IF($J81&lt;Parametros!$B$31,"POCOS EVALUADORES","VALIDA"))))</f>
        <v/>
      </c>
    </row>
    <row r="82" customFormat="false" ht="15" hidden="false" customHeight="true" outlineLevel="0" collapsed="false">
      <c r="A82" s="72"/>
      <c r="B82" s="16" t="str">
        <f aca="false">IFERROR(INDEX('Registro de Fichas'!$E$7:$E$1200,MATCH($A82,'Registro de Fichas'!$D$7:$D$1200,0)),"")</f>
        <v/>
      </c>
      <c r="C82" s="74" t="n">
        <f aca="false">COUNTIF('Registro de Fichas'!$D$7:$D$1200,$A82)</f>
        <v>0</v>
      </c>
      <c r="D82" s="72"/>
      <c r="E82" s="73" t="str">
        <f aca="false">IFERROR(AVERAGEIF('Registro de Fichas'!$D$7:$D$1200,$A82,'Registro de Fichas'!$G$7:$G$1200),"")</f>
        <v/>
      </c>
      <c r="F82" s="73" t="str">
        <f aca="false">IFERROR(AVERAGEIF('Registro de Fichas'!$D$7:$D$1200,$A82,'Registro de Fichas'!$H$7:$H$1200),"")</f>
        <v/>
      </c>
      <c r="G82" s="73" t="str">
        <f aca="false">IFERROR(AVERAGEIF('Registro de Fichas'!$D$7:$D$1200,$A82,'Registro de Fichas'!$I$7:$I$1200),"")</f>
        <v/>
      </c>
      <c r="H82" s="73" t="str">
        <f aca="false">IFERROR(AVERAGEIF('Registro de Fichas'!$D$7:$D$1200,$A82,'Registro de Fichas'!$J$7:$J$1200),"")</f>
        <v/>
      </c>
      <c r="I82" s="56" t="str">
        <f aca="false">IF($C82=0,"",IF($C82&gt;=Parametros!$B$27,"OK","FALTAN "&amp;(Parametros!$B$27-$C82)))</f>
        <v/>
      </c>
      <c r="J82" s="56" t="str">
        <f aca="false">IF($C82=0,"",SUMIF('Registro de Fichas'!$D$7:$D$1200,$A82,'Registro de Fichas'!$M$7:$M$1200))</f>
        <v/>
      </c>
      <c r="K82" s="74" t="n">
        <f aca="false">COUNTIFS('Registro de Fichas'!$D$7:$D$1200,$A82,'Registro de Fichas'!$K$7:$K$1200,"Contenedores")</f>
        <v>0</v>
      </c>
      <c r="L82" s="74" t="n">
        <f aca="false">COUNTIFS('Registro de Fichas'!$D$7:$D$1200,$A82,'Registro de Fichas'!$K$7:$K$1200,"Granel solido")</f>
        <v>0</v>
      </c>
      <c r="M82" s="74" t="n">
        <f aca="false">COUNTIFS('Registro de Fichas'!$D$7:$D$1200,$A82,'Registro de Fichas'!$K$7:$K$1200,"Carga fraccionada")</f>
        <v>0</v>
      </c>
      <c r="N82" s="74" t="n">
        <f aca="false">COUNTIFS('Registro de Fichas'!$D$7:$D$1200,$A82,'Registro de Fichas'!$K$7:$K$1200,"Big bags")</f>
        <v>0</v>
      </c>
      <c r="O82" s="74" t="n">
        <f aca="false">COUNTIFS('Registro de Fichas'!$D$7:$D$1200,$A82,'Registro de Fichas'!$L$7:$L$1200,"Si")</f>
        <v>0</v>
      </c>
      <c r="P82" s="75" t="str">
        <f aca="false">IF($C82=0,"",IF($C82&lt;Parametros!$B$27,"EVIDENCIA INSUFICIENTE",IF(AND($D82&lt;&gt;"",$C82&lt;$D82*Parametros!$B$28),"BAJO % MUESTREO",IF($J82&lt;Parametros!$B$31,"POCOS EVALUADORES","VALIDA"))))</f>
        <v/>
      </c>
    </row>
    <row r="83" customFormat="false" ht="15" hidden="false" customHeight="true" outlineLevel="0" collapsed="false">
      <c r="A83" s="72"/>
      <c r="B83" s="13" t="str">
        <f aca="false">IFERROR(INDEX('Registro de Fichas'!$E$7:$E$1200,MATCH($A83,'Registro de Fichas'!$D$7:$D$1200,0)),"")</f>
        <v/>
      </c>
      <c r="C83" s="26" t="n">
        <f aca="false">COUNTIF('Registro de Fichas'!$D$7:$D$1200,$A83)</f>
        <v>0</v>
      </c>
      <c r="D83" s="72"/>
      <c r="E83" s="73" t="str">
        <f aca="false">IFERROR(AVERAGEIF('Registro de Fichas'!$D$7:$D$1200,$A83,'Registro de Fichas'!$G$7:$G$1200),"")</f>
        <v/>
      </c>
      <c r="F83" s="73" t="str">
        <f aca="false">IFERROR(AVERAGEIF('Registro de Fichas'!$D$7:$D$1200,$A83,'Registro de Fichas'!$H$7:$H$1200),"")</f>
        <v/>
      </c>
      <c r="G83" s="73" t="str">
        <f aca="false">IFERROR(AVERAGEIF('Registro de Fichas'!$D$7:$D$1200,$A83,'Registro de Fichas'!$I$7:$I$1200),"")</f>
        <v/>
      </c>
      <c r="H83" s="73" t="str">
        <f aca="false">IFERROR(AVERAGEIF('Registro de Fichas'!$D$7:$D$1200,$A83,'Registro de Fichas'!$J$7:$J$1200),"")</f>
        <v/>
      </c>
      <c r="I83" s="38" t="str">
        <f aca="false">IF($C83=0,"",IF($C83&gt;=Parametros!$B$27,"OK","FALTAN "&amp;(Parametros!$B$27-$C83)))</f>
        <v/>
      </c>
      <c r="J83" s="38" t="str">
        <f aca="false">IF($C83=0,"",SUMIF('Registro de Fichas'!$D$7:$D$1200,$A83,'Registro de Fichas'!$M$7:$M$1200))</f>
        <v/>
      </c>
      <c r="K83" s="26" t="n">
        <f aca="false">COUNTIFS('Registro de Fichas'!$D$7:$D$1200,$A83,'Registro de Fichas'!$K$7:$K$1200,"Contenedores")</f>
        <v>0</v>
      </c>
      <c r="L83" s="26" t="n">
        <f aca="false">COUNTIFS('Registro de Fichas'!$D$7:$D$1200,$A83,'Registro de Fichas'!$K$7:$K$1200,"Granel solido")</f>
        <v>0</v>
      </c>
      <c r="M83" s="26" t="n">
        <f aca="false">COUNTIFS('Registro de Fichas'!$D$7:$D$1200,$A83,'Registro de Fichas'!$K$7:$K$1200,"Carga fraccionada")</f>
        <v>0</v>
      </c>
      <c r="N83" s="26" t="n">
        <f aca="false">COUNTIFS('Registro de Fichas'!$D$7:$D$1200,$A83,'Registro de Fichas'!$K$7:$K$1200,"Big bags")</f>
        <v>0</v>
      </c>
      <c r="O83" s="26" t="n">
        <f aca="false">COUNTIFS('Registro de Fichas'!$D$7:$D$1200,$A83,'Registro de Fichas'!$L$7:$L$1200,"Si")</f>
        <v>0</v>
      </c>
      <c r="P83" s="23" t="str">
        <f aca="false">IF($C83=0,"",IF($C83&lt;Parametros!$B$27,"EVIDENCIA INSUFICIENTE",IF(AND($D83&lt;&gt;"",$C83&lt;$D83*Parametros!$B$28),"BAJO % MUESTREO",IF($J83&lt;Parametros!$B$31,"POCOS EVALUADORES","VALIDA"))))</f>
        <v/>
      </c>
    </row>
    <row r="84" customFormat="false" ht="15" hidden="false" customHeight="true" outlineLevel="0" collapsed="false">
      <c r="A84" s="72"/>
      <c r="B84" s="16" t="str">
        <f aca="false">IFERROR(INDEX('Registro de Fichas'!$E$7:$E$1200,MATCH($A84,'Registro de Fichas'!$D$7:$D$1200,0)),"")</f>
        <v/>
      </c>
      <c r="C84" s="74" t="n">
        <f aca="false">COUNTIF('Registro de Fichas'!$D$7:$D$1200,$A84)</f>
        <v>0</v>
      </c>
      <c r="D84" s="72"/>
      <c r="E84" s="73" t="str">
        <f aca="false">IFERROR(AVERAGEIF('Registro de Fichas'!$D$7:$D$1200,$A84,'Registro de Fichas'!$G$7:$G$1200),"")</f>
        <v/>
      </c>
      <c r="F84" s="73" t="str">
        <f aca="false">IFERROR(AVERAGEIF('Registro de Fichas'!$D$7:$D$1200,$A84,'Registro de Fichas'!$H$7:$H$1200),"")</f>
        <v/>
      </c>
      <c r="G84" s="73" t="str">
        <f aca="false">IFERROR(AVERAGEIF('Registro de Fichas'!$D$7:$D$1200,$A84,'Registro de Fichas'!$I$7:$I$1200),"")</f>
        <v/>
      </c>
      <c r="H84" s="73" t="str">
        <f aca="false">IFERROR(AVERAGEIF('Registro de Fichas'!$D$7:$D$1200,$A84,'Registro de Fichas'!$J$7:$J$1200),"")</f>
        <v/>
      </c>
      <c r="I84" s="56" t="str">
        <f aca="false">IF($C84=0,"",IF($C84&gt;=Parametros!$B$27,"OK","FALTAN "&amp;(Parametros!$B$27-$C84)))</f>
        <v/>
      </c>
      <c r="J84" s="56" t="str">
        <f aca="false">IF($C84=0,"",SUMIF('Registro de Fichas'!$D$7:$D$1200,$A84,'Registro de Fichas'!$M$7:$M$1200))</f>
        <v/>
      </c>
      <c r="K84" s="74" t="n">
        <f aca="false">COUNTIFS('Registro de Fichas'!$D$7:$D$1200,$A84,'Registro de Fichas'!$K$7:$K$1200,"Contenedores")</f>
        <v>0</v>
      </c>
      <c r="L84" s="74" t="n">
        <f aca="false">COUNTIFS('Registro de Fichas'!$D$7:$D$1200,$A84,'Registro de Fichas'!$K$7:$K$1200,"Granel solido")</f>
        <v>0</v>
      </c>
      <c r="M84" s="74" t="n">
        <f aca="false">COUNTIFS('Registro de Fichas'!$D$7:$D$1200,$A84,'Registro de Fichas'!$K$7:$K$1200,"Carga fraccionada")</f>
        <v>0</v>
      </c>
      <c r="N84" s="74" t="n">
        <f aca="false">COUNTIFS('Registro de Fichas'!$D$7:$D$1200,$A84,'Registro de Fichas'!$K$7:$K$1200,"Big bags")</f>
        <v>0</v>
      </c>
      <c r="O84" s="74" t="n">
        <f aca="false">COUNTIFS('Registro de Fichas'!$D$7:$D$1200,$A84,'Registro de Fichas'!$L$7:$L$1200,"Si")</f>
        <v>0</v>
      </c>
      <c r="P84" s="75" t="str">
        <f aca="false">IF($C84=0,"",IF($C84&lt;Parametros!$B$27,"EVIDENCIA INSUFICIENTE",IF(AND($D84&lt;&gt;"",$C84&lt;$D84*Parametros!$B$28),"BAJO % MUESTREO",IF($J84&lt;Parametros!$B$31,"POCOS EVALUADORES","VALIDA"))))</f>
        <v/>
      </c>
    </row>
    <row r="85" customFormat="false" ht="15" hidden="false" customHeight="true" outlineLevel="0" collapsed="false">
      <c r="A85" s="72"/>
      <c r="B85" s="13" t="str">
        <f aca="false">IFERROR(INDEX('Registro de Fichas'!$E$7:$E$1200,MATCH($A85,'Registro de Fichas'!$D$7:$D$1200,0)),"")</f>
        <v/>
      </c>
      <c r="C85" s="26" t="n">
        <f aca="false">COUNTIF('Registro de Fichas'!$D$7:$D$1200,$A85)</f>
        <v>0</v>
      </c>
      <c r="D85" s="72"/>
      <c r="E85" s="73" t="str">
        <f aca="false">IFERROR(AVERAGEIF('Registro de Fichas'!$D$7:$D$1200,$A85,'Registro de Fichas'!$G$7:$G$1200),"")</f>
        <v/>
      </c>
      <c r="F85" s="73" t="str">
        <f aca="false">IFERROR(AVERAGEIF('Registro de Fichas'!$D$7:$D$1200,$A85,'Registro de Fichas'!$H$7:$H$1200),"")</f>
        <v/>
      </c>
      <c r="G85" s="73" t="str">
        <f aca="false">IFERROR(AVERAGEIF('Registro de Fichas'!$D$7:$D$1200,$A85,'Registro de Fichas'!$I$7:$I$1200),"")</f>
        <v/>
      </c>
      <c r="H85" s="73" t="str">
        <f aca="false">IFERROR(AVERAGEIF('Registro de Fichas'!$D$7:$D$1200,$A85,'Registro de Fichas'!$J$7:$J$1200),"")</f>
        <v/>
      </c>
      <c r="I85" s="38" t="str">
        <f aca="false">IF($C85=0,"",IF($C85&gt;=Parametros!$B$27,"OK","FALTAN "&amp;(Parametros!$B$27-$C85)))</f>
        <v/>
      </c>
      <c r="J85" s="38" t="str">
        <f aca="false">IF($C85=0,"",SUMIF('Registro de Fichas'!$D$7:$D$1200,$A85,'Registro de Fichas'!$M$7:$M$1200))</f>
        <v/>
      </c>
      <c r="K85" s="26" t="n">
        <f aca="false">COUNTIFS('Registro de Fichas'!$D$7:$D$1200,$A85,'Registro de Fichas'!$K$7:$K$1200,"Contenedores")</f>
        <v>0</v>
      </c>
      <c r="L85" s="26" t="n">
        <f aca="false">COUNTIFS('Registro de Fichas'!$D$7:$D$1200,$A85,'Registro de Fichas'!$K$7:$K$1200,"Granel solido")</f>
        <v>0</v>
      </c>
      <c r="M85" s="26" t="n">
        <f aca="false">COUNTIFS('Registro de Fichas'!$D$7:$D$1200,$A85,'Registro de Fichas'!$K$7:$K$1200,"Carga fraccionada")</f>
        <v>0</v>
      </c>
      <c r="N85" s="26" t="n">
        <f aca="false">COUNTIFS('Registro de Fichas'!$D$7:$D$1200,$A85,'Registro de Fichas'!$K$7:$K$1200,"Big bags")</f>
        <v>0</v>
      </c>
      <c r="O85" s="26" t="n">
        <f aca="false">COUNTIFS('Registro de Fichas'!$D$7:$D$1200,$A85,'Registro de Fichas'!$L$7:$L$1200,"Si")</f>
        <v>0</v>
      </c>
      <c r="P85" s="23" t="str">
        <f aca="false">IF($C85=0,"",IF($C85&lt;Parametros!$B$27,"EVIDENCIA INSUFICIENTE",IF(AND($D85&lt;&gt;"",$C85&lt;$D85*Parametros!$B$28),"BAJO % MUESTREO",IF($J85&lt;Parametros!$B$31,"POCOS EVALUADORES","VALIDA"))))</f>
        <v/>
      </c>
    </row>
    <row r="86" customFormat="false" ht="15" hidden="false" customHeight="true" outlineLevel="0" collapsed="false">
      <c r="A86" s="72"/>
      <c r="B86" s="16" t="str">
        <f aca="false">IFERROR(INDEX('Registro de Fichas'!$E$7:$E$1200,MATCH($A86,'Registro de Fichas'!$D$7:$D$1200,0)),"")</f>
        <v/>
      </c>
      <c r="C86" s="74" t="n">
        <f aca="false">COUNTIF('Registro de Fichas'!$D$7:$D$1200,$A86)</f>
        <v>0</v>
      </c>
      <c r="D86" s="72"/>
      <c r="E86" s="73" t="str">
        <f aca="false">IFERROR(AVERAGEIF('Registro de Fichas'!$D$7:$D$1200,$A86,'Registro de Fichas'!$G$7:$G$1200),"")</f>
        <v/>
      </c>
      <c r="F86" s="73" t="str">
        <f aca="false">IFERROR(AVERAGEIF('Registro de Fichas'!$D$7:$D$1200,$A86,'Registro de Fichas'!$H$7:$H$1200),"")</f>
        <v/>
      </c>
      <c r="G86" s="73" t="str">
        <f aca="false">IFERROR(AVERAGEIF('Registro de Fichas'!$D$7:$D$1200,$A86,'Registro de Fichas'!$I$7:$I$1200),"")</f>
        <v/>
      </c>
      <c r="H86" s="73" t="str">
        <f aca="false">IFERROR(AVERAGEIF('Registro de Fichas'!$D$7:$D$1200,$A86,'Registro de Fichas'!$J$7:$J$1200),"")</f>
        <v/>
      </c>
      <c r="I86" s="56" t="str">
        <f aca="false">IF($C86=0,"",IF($C86&gt;=Parametros!$B$27,"OK","FALTAN "&amp;(Parametros!$B$27-$C86)))</f>
        <v/>
      </c>
      <c r="J86" s="56" t="str">
        <f aca="false">IF($C86=0,"",SUMIF('Registro de Fichas'!$D$7:$D$1200,$A86,'Registro de Fichas'!$M$7:$M$1200))</f>
        <v/>
      </c>
      <c r="K86" s="74" t="n">
        <f aca="false">COUNTIFS('Registro de Fichas'!$D$7:$D$1200,$A86,'Registro de Fichas'!$K$7:$K$1200,"Contenedores")</f>
        <v>0</v>
      </c>
      <c r="L86" s="74" t="n">
        <f aca="false">COUNTIFS('Registro de Fichas'!$D$7:$D$1200,$A86,'Registro de Fichas'!$K$7:$K$1200,"Granel solido")</f>
        <v>0</v>
      </c>
      <c r="M86" s="74" t="n">
        <f aca="false">COUNTIFS('Registro de Fichas'!$D$7:$D$1200,$A86,'Registro de Fichas'!$K$7:$K$1200,"Carga fraccionada")</f>
        <v>0</v>
      </c>
      <c r="N86" s="74" t="n">
        <f aca="false">COUNTIFS('Registro de Fichas'!$D$7:$D$1200,$A86,'Registro de Fichas'!$K$7:$K$1200,"Big bags")</f>
        <v>0</v>
      </c>
      <c r="O86" s="74" t="n">
        <f aca="false">COUNTIFS('Registro de Fichas'!$D$7:$D$1200,$A86,'Registro de Fichas'!$L$7:$L$1200,"Si")</f>
        <v>0</v>
      </c>
      <c r="P86" s="75" t="str">
        <f aca="false">IF($C86=0,"",IF($C86&lt;Parametros!$B$27,"EVIDENCIA INSUFICIENTE",IF(AND($D86&lt;&gt;"",$C86&lt;$D86*Parametros!$B$28),"BAJO % MUESTREO",IF($J86&lt;Parametros!$B$31,"POCOS EVALUADORES","VALIDA"))))</f>
        <v/>
      </c>
    </row>
    <row r="87" customFormat="false" ht="15" hidden="false" customHeight="true" outlineLevel="0" collapsed="false">
      <c r="A87" s="72"/>
      <c r="B87" s="13" t="str">
        <f aca="false">IFERROR(INDEX('Registro de Fichas'!$E$7:$E$1200,MATCH($A87,'Registro de Fichas'!$D$7:$D$1200,0)),"")</f>
        <v/>
      </c>
      <c r="C87" s="26" t="n">
        <f aca="false">COUNTIF('Registro de Fichas'!$D$7:$D$1200,$A87)</f>
        <v>0</v>
      </c>
      <c r="D87" s="72"/>
      <c r="E87" s="73" t="str">
        <f aca="false">IFERROR(AVERAGEIF('Registro de Fichas'!$D$7:$D$1200,$A87,'Registro de Fichas'!$G$7:$G$1200),"")</f>
        <v/>
      </c>
      <c r="F87" s="73" t="str">
        <f aca="false">IFERROR(AVERAGEIF('Registro de Fichas'!$D$7:$D$1200,$A87,'Registro de Fichas'!$H$7:$H$1200),"")</f>
        <v/>
      </c>
      <c r="G87" s="73" t="str">
        <f aca="false">IFERROR(AVERAGEIF('Registro de Fichas'!$D$7:$D$1200,$A87,'Registro de Fichas'!$I$7:$I$1200),"")</f>
        <v/>
      </c>
      <c r="H87" s="73" t="str">
        <f aca="false">IFERROR(AVERAGEIF('Registro de Fichas'!$D$7:$D$1200,$A87,'Registro de Fichas'!$J$7:$J$1200),"")</f>
        <v/>
      </c>
      <c r="I87" s="38" t="str">
        <f aca="false">IF($C87=0,"",IF($C87&gt;=Parametros!$B$27,"OK","FALTAN "&amp;(Parametros!$B$27-$C87)))</f>
        <v/>
      </c>
      <c r="J87" s="38" t="str">
        <f aca="false">IF($C87=0,"",SUMIF('Registro de Fichas'!$D$7:$D$1200,$A87,'Registro de Fichas'!$M$7:$M$1200))</f>
        <v/>
      </c>
      <c r="K87" s="26" t="n">
        <f aca="false">COUNTIFS('Registro de Fichas'!$D$7:$D$1200,$A87,'Registro de Fichas'!$K$7:$K$1200,"Contenedores")</f>
        <v>0</v>
      </c>
      <c r="L87" s="26" t="n">
        <f aca="false">COUNTIFS('Registro de Fichas'!$D$7:$D$1200,$A87,'Registro de Fichas'!$K$7:$K$1200,"Granel solido")</f>
        <v>0</v>
      </c>
      <c r="M87" s="26" t="n">
        <f aca="false">COUNTIFS('Registro de Fichas'!$D$7:$D$1200,$A87,'Registro de Fichas'!$K$7:$K$1200,"Carga fraccionada")</f>
        <v>0</v>
      </c>
      <c r="N87" s="26" t="n">
        <f aca="false">COUNTIFS('Registro de Fichas'!$D$7:$D$1200,$A87,'Registro de Fichas'!$K$7:$K$1200,"Big bags")</f>
        <v>0</v>
      </c>
      <c r="O87" s="26" t="n">
        <f aca="false">COUNTIFS('Registro de Fichas'!$D$7:$D$1200,$A87,'Registro de Fichas'!$L$7:$L$1200,"Si")</f>
        <v>0</v>
      </c>
      <c r="P87" s="23" t="str">
        <f aca="false">IF($C87=0,"",IF($C87&lt;Parametros!$B$27,"EVIDENCIA INSUFICIENTE",IF(AND($D87&lt;&gt;"",$C87&lt;$D87*Parametros!$B$28),"BAJO % MUESTREO",IF($J87&lt;Parametros!$B$31,"POCOS EVALUADORES","VALIDA"))))</f>
        <v/>
      </c>
    </row>
    <row r="88" customFormat="false" ht="15" hidden="false" customHeight="true" outlineLevel="0" collapsed="false">
      <c r="A88" s="72"/>
      <c r="B88" s="16" t="str">
        <f aca="false">IFERROR(INDEX('Registro de Fichas'!$E$7:$E$1200,MATCH($A88,'Registro de Fichas'!$D$7:$D$1200,0)),"")</f>
        <v/>
      </c>
      <c r="C88" s="74" t="n">
        <f aca="false">COUNTIF('Registro de Fichas'!$D$7:$D$1200,$A88)</f>
        <v>0</v>
      </c>
      <c r="D88" s="72"/>
      <c r="E88" s="73" t="str">
        <f aca="false">IFERROR(AVERAGEIF('Registro de Fichas'!$D$7:$D$1200,$A88,'Registro de Fichas'!$G$7:$G$1200),"")</f>
        <v/>
      </c>
      <c r="F88" s="73" t="str">
        <f aca="false">IFERROR(AVERAGEIF('Registro de Fichas'!$D$7:$D$1200,$A88,'Registro de Fichas'!$H$7:$H$1200),"")</f>
        <v/>
      </c>
      <c r="G88" s="73" t="str">
        <f aca="false">IFERROR(AVERAGEIF('Registro de Fichas'!$D$7:$D$1200,$A88,'Registro de Fichas'!$I$7:$I$1200),"")</f>
        <v/>
      </c>
      <c r="H88" s="73" t="str">
        <f aca="false">IFERROR(AVERAGEIF('Registro de Fichas'!$D$7:$D$1200,$A88,'Registro de Fichas'!$J$7:$J$1200),"")</f>
        <v/>
      </c>
      <c r="I88" s="56" t="str">
        <f aca="false">IF($C88=0,"",IF($C88&gt;=Parametros!$B$27,"OK","FALTAN "&amp;(Parametros!$B$27-$C88)))</f>
        <v/>
      </c>
      <c r="J88" s="56" t="str">
        <f aca="false">IF($C88=0,"",SUMIF('Registro de Fichas'!$D$7:$D$1200,$A88,'Registro de Fichas'!$M$7:$M$1200))</f>
        <v/>
      </c>
      <c r="K88" s="74" t="n">
        <f aca="false">COUNTIFS('Registro de Fichas'!$D$7:$D$1200,$A88,'Registro de Fichas'!$K$7:$K$1200,"Contenedores")</f>
        <v>0</v>
      </c>
      <c r="L88" s="74" t="n">
        <f aca="false">COUNTIFS('Registro de Fichas'!$D$7:$D$1200,$A88,'Registro de Fichas'!$K$7:$K$1200,"Granel solido")</f>
        <v>0</v>
      </c>
      <c r="M88" s="74" t="n">
        <f aca="false">COUNTIFS('Registro de Fichas'!$D$7:$D$1200,$A88,'Registro de Fichas'!$K$7:$K$1200,"Carga fraccionada")</f>
        <v>0</v>
      </c>
      <c r="N88" s="74" t="n">
        <f aca="false">COUNTIFS('Registro de Fichas'!$D$7:$D$1200,$A88,'Registro de Fichas'!$K$7:$K$1200,"Big bags")</f>
        <v>0</v>
      </c>
      <c r="O88" s="74" t="n">
        <f aca="false">COUNTIFS('Registro de Fichas'!$D$7:$D$1200,$A88,'Registro de Fichas'!$L$7:$L$1200,"Si")</f>
        <v>0</v>
      </c>
      <c r="P88" s="75" t="str">
        <f aca="false">IF($C88=0,"",IF($C88&lt;Parametros!$B$27,"EVIDENCIA INSUFICIENTE",IF(AND($D88&lt;&gt;"",$C88&lt;$D88*Parametros!$B$28),"BAJO % MUESTREO",IF($J88&lt;Parametros!$B$31,"POCOS EVALUADORES","VALIDA"))))</f>
        <v/>
      </c>
    </row>
    <row r="89" customFormat="false" ht="15" hidden="false" customHeight="true" outlineLevel="0" collapsed="false">
      <c r="A89" s="72"/>
      <c r="B89" s="13" t="str">
        <f aca="false">IFERROR(INDEX('Registro de Fichas'!$E$7:$E$1200,MATCH($A89,'Registro de Fichas'!$D$7:$D$1200,0)),"")</f>
        <v/>
      </c>
      <c r="C89" s="26" t="n">
        <f aca="false">COUNTIF('Registro de Fichas'!$D$7:$D$1200,$A89)</f>
        <v>0</v>
      </c>
      <c r="D89" s="72"/>
      <c r="E89" s="73" t="str">
        <f aca="false">IFERROR(AVERAGEIF('Registro de Fichas'!$D$7:$D$1200,$A89,'Registro de Fichas'!$G$7:$G$1200),"")</f>
        <v/>
      </c>
      <c r="F89" s="73" t="str">
        <f aca="false">IFERROR(AVERAGEIF('Registro de Fichas'!$D$7:$D$1200,$A89,'Registro de Fichas'!$H$7:$H$1200),"")</f>
        <v/>
      </c>
      <c r="G89" s="73" t="str">
        <f aca="false">IFERROR(AVERAGEIF('Registro de Fichas'!$D$7:$D$1200,$A89,'Registro de Fichas'!$I$7:$I$1200),"")</f>
        <v/>
      </c>
      <c r="H89" s="73" t="str">
        <f aca="false">IFERROR(AVERAGEIF('Registro de Fichas'!$D$7:$D$1200,$A89,'Registro de Fichas'!$J$7:$J$1200),"")</f>
        <v/>
      </c>
      <c r="I89" s="38" t="str">
        <f aca="false">IF($C89=0,"",IF($C89&gt;=Parametros!$B$27,"OK","FALTAN "&amp;(Parametros!$B$27-$C89)))</f>
        <v/>
      </c>
      <c r="J89" s="38" t="str">
        <f aca="false">IF($C89=0,"",SUMIF('Registro de Fichas'!$D$7:$D$1200,$A89,'Registro de Fichas'!$M$7:$M$1200))</f>
        <v/>
      </c>
      <c r="K89" s="26" t="n">
        <f aca="false">COUNTIFS('Registro de Fichas'!$D$7:$D$1200,$A89,'Registro de Fichas'!$K$7:$K$1200,"Contenedores")</f>
        <v>0</v>
      </c>
      <c r="L89" s="26" t="n">
        <f aca="false">COUNTIFS('Registro de Fichas'!$D$7:$D$1200,$A89,'Registro de Fichas'!$K$7:$K$1200,"Granel solido")</f>
        <v>0</v>
      </c>
      <c r="M89" s="26" t="n">
        <f aca="false">COUNTIFS('Registro de Fichas'!$D$7:$D$1200,$A89,'Registro de Fichas'!$K$7:$K$1200,"Carga fraccionada")</f>
        <v>0</v>
      </c>
      <c r="N89" s="26" t="n">
        <f aca="false">COUNTIFS('Registro de Fichas'!$D$7:$D$1200,$A89,'Registro de Fichas'!$K$7:$K$1200,"Big bags")</f>
        <v>0</v>
      </c>
      <c r="O89" s="26" t="n">
        <f aca="false">COUNTIFS('Registro de Fichas'!$D$7:$D$1200,$A89,'Registro de Fichas'!$L$7:$L$1200,"Si")</f>
        <v>0</v>
      </c>
      <c r="P89" s="23" t="str">
        <f aca="false">IF($C89=0,"",IF($C89&lt;Parametros!$B$27,"EVIDENCIA INSUFICIENTE",IF(AND($D89&lt;&gt;"",$C89&lt;$D89*Parametros!$B$28),"BAJO % MUESTREO",IF($J89&lt;Parametros!$B$31,"POCOS EVALUADORES","VALIDA"))))</f>
        <v/>
      </c>
    </row>
    <row r="90" customFormat="false" ht="15" hidden="false" customHeight="true" outlineLevel="0" collapsed="false">
      <c r="A90" s="72"/>
      <c r="B90" s="16" t="str">
        <f aca="false">IFERROR(INDEX('Registro de Fichas'!$E$7:$E$1200,MATCH($A90,'Registro de Fichas'!$D$7:$D$1200,0)),"")</f>
        <v/>
      </c>
      <c r="C90" s="74" t="n">
        <f aca="false">COUNTIF('Registro de Fichas'!$D$7:$D$1200,$A90)</f>
        <v>0</v>
      </c>
      <c r="D90" s="72"/>
      <c r="E90" s="73" t="str">
        <f aca="false">IFERROR(AVERAGEIF('Registro de Fichas'!$D$7:$D$1200,$A90,'Registro de Fichas'!$G$7:$G$1200),"")</f>
        <v/>
      </c>
      <c r="F90" s="73" t="str">
        <f aca="false">IFERROR(AVERAGEIF('Registro de Fichas'!$D$7:$D$1200,$A90,'Registro de Fichas'!$H$7:$H$1200),"")</f>
        <v/>
      </c>
      <c r="G90" s="73" t="str">
        <f aca="false">IFERROR(AVERAGEIF('Registro de Fichas'!$D$7:$D$1200,$A90,'Registro de Fichas'!$I$7:$I$1200),"")</f>
        <v/>
      </c>
      <c r="H90" s="73" t="str">
        <f aca="false">IFERROR(AVERAGEIF('Registro de Fichas'!$D$7:$D$1200,$A90,'Registro de Fichas'!$J$7:$J$1200),"")</f>
        <v/>
      </c>
      <c r="I90" s="56" t="str">
        <f aca="false">IF($C90=0,"",IF($C90&gt;=Parametros!$B$27,"OK","FALTAN "&amp;(Parametros!$B$27-$C90)))</f>
        <v/>
      </c>
      <c r="J90" s="56" t="str">
        <f aca="false">IF($C90=0,"",SUMIF('Registro de Fichas'!$D$7:$D$1200,$A90,'Registro de Fichas'!$M$7:$M$1200))</f>
        <v/>
      </c>
      <c r="K90" s="74" t="n">
        <f aca="false">COUNTIFS('Registro de Fichas'!$D$7:$D$1200,$A90,'Registro de Fichas'!$K$7:$K$1200,"Contenedores")</f>
        <v>0</v>
      </c>
      <c r="L90" s="74" t="n">
        <f aca="false">COUNTIFS('Registro de Fichas'!$D$7:$D$1200,$A90,'Registro de Fichas'!$K$7:$K$1200,"Granel solido")</f>
        <v>0</v>
      </c>
      <c r="M90" s="74" t="n">
        <f aca="false">COUNTIFS('Registro de Fichas'!$D$7:$D$1200,$A90,'Registro de Fichas'!$K$7:$K$1200,"Carga fraccionada")</f>
        <v>0</v>
      </c>
      <c r="N90" s="74" t="n">
        <f aca="false">COUNTIFS('Registro de Fichas'!$D$7:$D$1200,$A90,'Registro de Fichas'!$K$7:$K$1200,"Big bags")</f>
        <v>0</v>
      </c>
      <c r="O90" s="74" t="n">
        <f aca="false">COUNTIFS('Registro de Fichas'!$D$7:$D$1200,$A90,'Registro de Fichas'!$L$7:$L$1200,"Si")</f>
        <v>0</v>
      </c>
      <c r="P90" s="75" t="str">
        <f aca="false">IF($C90=0,"",IF($C90&lt;Parametros!$B$27,"EVIDENCIA INSUFICIENTE",IF(AND($D90&lt;&gt;"",$C90&lt;$D90*Parametros!$B$28),"BAJO % MUESTREO",IF($J90&lt;Parametros!$B$31,"POCOS EVALUADORES","VALIDA"))))</f>
        <v/>
      </c>
    </row>
    <row r="91" customFormat="false" ht="15" hidden="false" customHeight="true" outlineLevel="0" collapsed="false">
      <c r="A91" s="72"/>
      <c r="B91" s="13" t="str">
        <f aca="false">IFERROR(INDEX('Registro de Fichas'!$E$7:$E$1200,MATCH($A91,'Registro de Fichas'!$D$7:$D$1200,0)),"")</f>
        <v/>
      </c>
      <c r="C91" s="26" t="n">
        <f aca="false">COUNTIF('Registro de Fichas'!$D$7:$D$1200,$A91)</f>
        <v>0</v>
      </c>
      <c r="D91" s="72"/>
      <c r="E91" s="73" t="str">
        <f aca="false">IFERROR(AVERAGEIF('Registro de Fichas'!$D$7:$D$1200,$A91,'Registro de Fichas'!$G$7:$G$1200),"")</f>
        <v/>
      </c>
      <c r="F91" s="73" t="str">
        <f aca="false">IFERROR(AVERAGEIF('Registro de Fichas'!$D$7:$D$1200,$A91,'Registro de Fichas'!$H$7:$H$1200),"")</f>
        <v/>
      </c>
      <c r="G91" s="73" t="str">
        <f aca="false">IFERROR(AVERAGEIF('Registro de Fichas'!$D$7:$D$1200,$A91,'Registro de Fichas'!$I$7:$I$1200),"")</f>
        <v/>
      </c>
      <c r="H91" s="73" t="str">
        <f aca="false">IFERROR(AVERAGEIF('Registro de Fichas'!$D$7:$D$1200,$A91,'Registro de Fichas'!$J$7:$J$1200),"")</f>
        <v/>
      </c>
      <c r="I91" s="38" t="str">
        <f aca="false">IF($C91=0,"",IF($C91&gt;=Parametros!$B$27,"OK","FALTAN "&amp;(Parametros!$B$27-$C91)))</f>
        <v/>
      </c>
      <c r="J91" s="38" t="str">
        <f aca="false">IF($C91=0,"",SUMIF('Registro de Fichas'!$D$7:$D$1200,$A91,'Registro de Fichas'!$M$7:$M$1200))</f>
        <v/>
      </c>
      <c r="K91" s="26" t="n">
        <f aca="false">COUNTIFS('Registro de Fichas'!$D$7:$D$1200,$A91,'Registro de Fichas'!$K$7:$K$1200,"Contenedores")</f>
        <v>0</v>
      </c>
      <c r="L91" s="26" t="n">
        <f aca="false">COUNTIFS('Registro de Fichas'!$D$7:$D$1200,$A91,'Registro de Fichas'!$K$7:$K$1200,"Granel solido")</f>
        <v>0</v>
      </c>
      <c r="M91" s="26" t="n">
        <f aca="false">COUNTIFS('Registro de Fichas'!$D$7:$D$1200,$A91,'Registro de Fichas'!$K$7:$K$1200,"Carga fraccionada")</f>
        <v>0</v>
      </c>
      <c r="N91" s="26" t="n">
        <f aca="false">COUNTIFS('Registro de Fichas'!$D$7:$D$1200,$A91,'Registro de Fichas'!$K$7:$K$1200,"Big bags")</f>
        <v>0</v>
      </c>
      <c r="O91" s="26" t="n">
        <f aca="false">COUNTIFS('Registro de Fichas'!$D$7:$D$1200,$A91,'Registro de Fichas'!$L$7:$L$1200,"Si")</f>
        <v>0</v>
      </c>
      <c r="P91" s="23" t="str">
        <f aca="false">IF($C91=0,"",IF($C91&lt;Parametros!$B$27,"EVIDENCIA INSUFICIENTE",IF(AND($D91&lt;&gt;"",$C91&lt;$D91*Parametros!$B$28),"BAJO % MUESTREO",IF($J91&lt;Parametros!$B$31,"POCOS EVALUADORES","VALIDA"))))</f>
        <v/>
      </c>
    </row>
    <row r="92" customFormat="false" ht="15" hidden="false" customHeight="true" outlineLevel="0" collapsed="false">
      <c r="A92" s="72"/>
      <c r="B92" s="16" t="str">
        <f aca="false">IFERROR(INDEX('Registro de Fichas'!$E$7:$E$1200,MATCH($A92,'Registro de Fichas'!$D$7:$D$1200,0)),"")</f>
        <v/>
      </c>
      <c r="C92" s="74" t="n">
        <f aca="false">COUNTIF('Registro de Fichas'!$D$7:$D$1200,$A92)</f>
        <v>0</v>
      </c>
      <c r="D92" s="72"/>
      <c r="E92" s="73" t="str">
        <f aca="false">IFERROR(AVERAGEIF('Registro de Fichas'!$D$7:$D$1200,$A92,'Registro de Fichas'!$G$7:$G$1200),"")</f>
        <v/>
      </c>
      <c r="F92" s="73" t="str">
        <f aca="false">IFERROR(AVERAGEIF('Registro de Fichas'!$D$7:$D$1200,$A92,'Registro de Fichas'!$H$7:$H$1200),"")</f>
        <v/>
      </c>
      <c r="G92" s="73" t="str">
        <f aca="false">IFERROR(AVERAGEIF('Registro de Fichas'!$D$7:$D$1200,$A92,'Registro de Fichas'!$I$7:$I$1200),"")</f>
        <v/>
      </c>
      <c r="H92" s="73" t="str">
        <f aca="false">IFERROR(AVERAGEIF('Registro de Fichas'!$D$7:$D$1200,$A92,'Registro de Fichas'!$J$7:$J$1200),"")</f>
        <v/>
      </c>
      <c r="I92" s="56" t="str">
        <f aca="false">IF($C92=0,"",IF($C92&gt;=Parametros!$B$27,"OK","FALTAN "&amp;(Parametros!$B$27-$C92)))</f>
        <v/>
      </c>
      <c r="J92" s="56" t="str">
        <f aca="false">IF($C92=0,"",SUMIF('Registro de Fichas'!$D$7:$D$1200,$A92,'Registro de Fichas'!$M$7:$M$1200))</f>
        <v/>
      </c>
      <c r="K92" s="74" t="n">
        <f aca="false">COUNTIFS('Registro de Fichas'!$D$7:$D$1200,$A92,'Registro de Fichas'!$K$7:$K$1200,"Contenedores")</f>
        <v>0</v>
      </c>
      <c r="L92" s="74" t="n">
        <f aca="false">COUNTIFS('Registro de Fichas'!$D$7:$D$1200,$A92,'Registro de Fichas'!$K$7:$K$1200,"Granel solido")</f>
        <v>0</v>
      </c>
      <c r="M92" s="74" t="n">
        <f aca="false">COUNTIFS('Registro de Fichas'!$D$7:$D$1200,$A92,'Registro de Fichas'!$K$7:$K$1200,"Carga fraccionada")</f>
        <v>0</v>
      </c>
      <c r="N92" s="74" t="n">
        <f aca="false">COUNTIFS('Registro de Fichas'!$D$7:$D$1200,$A92,'Registro de Fichas'!$K$7:$K$1200,"Big bags")</f>
        <v>0</v>
      </c>
      <c r="O92" s="74" t="n">
        <f aca="false">COUNTIFS('Registro de Fichas'!$D$7:$D$1200,$A92,'Registro de Fichas'!$L$7:$L$1200,"Si")</f>
        <v>0</v>
      </c>
      <c r="P92" s="75" t="str">
        <f aca="false">IF($C92=0,"",IF($C92&lt;Parametros!$B$27,"EVIDENCIA INSUFICIENTE",IF(AND($D92&lt;&gt;"",$C92&lt;$D92*Parametros!$B$28),"BAJO % MUESTREO",IF($J92&lt;Parametros!$B$31,"POCOS EVALUADORES","VALIDA"))))</f>
        <v/>
      </c>
    </row>
    <row r="93" customFormat="false" ht="15" hidden="false" customHeight="true" outlineLevel="0" collapsed="false">
      <c r="A93" s="72"/>
      <c r="B93" s="13" t="str">
        <f aca="false">IFERROR(INDEX('Registro de Fichas'!$E$7:$E$1200,MATCH($A93,'Registro de Fichas'!$D$7:$D$1200,0)),"")</f>
        <v/>
      </c>
      <c r="C93" s="26" t="n">
        <f aca="false">COUNTIF('Registro de Fichas'!$D$7:$D$1200,$A93)</f>
        <v>0</v>
      </c>
      <c r="D93" s="72"/>
      <c r="E93" s="73" t="str">
        <f aca="false">IFERROR(AVERAGEIF('Registro de Fichas'!$D$7:$D$1200,$A93,'Registro de Fichas'!$G$7:$G$1200),"")</f>
        <v/>
      </c>
      <c r="F93" s="73" t="str">
        <f aca="false">IFERROR(AVERAGEIF('Registro de Fichas'!$D$7:$D$1200,$A93,'Registro de Fichas'!$H$7:$H$1200),"")</f>
        <v/>
      </c>
      <c r="G93" s="73" t="str">
        <f aca="false">IFERROR(AVERAGEIF('Registro de Fichas'!$D$7:$D$1200,$A93,'Registro de Fichas'!$I$7:$I$1200),"")</f>
        <v/>
      </c>
      <c r="H93" s="73" t="str">
        <f aca="false">IFERROR(AVERAGEIF('Registro de Fichas'!$D$7:$D$1200,$A93,'Registro de Fichas'!$J$7:$J$1200),"")</f>
        <v/>
      </c>
      <c r="I93" s="38" t="str">
        <f aca="false">IF($C93=0,"",IF($C93&gt;=Parametros!$B$27,"OK","FALTAN "&amp;(Parametros!$B$27-$C93)))</f>
        <v/>
      </c>
      <c r="J93" s="38" t="str">
        <f aca="false">IF($C93=0,"",SUMIF('Registro de Fichas'!$D$7:$D$1200,$A93,'Registro de Fichas'!$M$7:$M$1200))</f>
        <v/>
      </c>
      <c r="K93" s="26" t="n">
        <f aca="false">COUNTIFS('Registro de Fichas'!$D$7:$D$1200,$A93,'Registro de Fichas'!$K$7:$K$1200,"Contenedores")</f>
        <v>0</v>
      </c>
      <c r="L93" s="26" t="n">
        <f aca="false">COUNTIFS('Registro de Fichas'!$D$7:$D$1200,$A93,'Registro de Fichas'!$K$7:$K$1200,"Granel solido")</f>
        <v>0</v>
      </c>
      <c r="M93" s="26" t="n">
        <f aca="false">COUNTIFS('Registro de Fichas'!$D$7:$D$1200,$A93,'Registro de Fichas'!$K$7:$K$1200,"Carga fraccionada")</f>
        <v>0</v>
      </c>
      <c r="N93" s="26" t="n">
        <f aca="false">COUNTIFS('Registro de Fichas'!$D$7:$D$1200,$A93,'Registro de Fichas'!$K$7:$K$1200,"Big bags")</f>
        <v>0</v>
      </c>
      <c r="O93" s="26" t="n">
        <f aca="false">COUNTIFS('Registro de Fichas'!$D$7:$D$1200,$A93,'Registro de Fichas'!$L$7:$L$1200,"Si")</f>
        <v>0</v>
      </c>
      <c r="P93" s="23" t="str">
        <f aca="false">IF($C93=0,"",IF($C93&lt;Parametros!$B$27,"EVIDENCIA INSUFICIENTE",IF(AND($D93&lt;&gt;"",$C93&lt;$D93*Parametros!$B$28),"BAJO % MUESTREO",IF($J93&lt;Parametros!$B$31,"POCOS EVALUADORES","VALIDA"))))</f>
        <v/>
      </c>
    </row>
    <row r="94" customFormat="false" ht="15" hidden="false" customHeight="true" outlineLevel="0" collapsed="false">
      <c r="A94" s="72"/>
      <c r="B94" s="16" t="str">
        <f aca="false">IFERROR(INDEX('Registro de Fichas'!$E$7:$E$1200,MATCH($A94,'Registro de Fichas'!$D$7:$D$1200,0)),"")</f>
        <v/>
      </c>
      <c r="C94" s="74" t="n">
        <f aca="false">COUNTIF('Registro de Fichas'!$D$7:$D$1200,$A94)</f>
        <v>0</v>
      </c>
      <c r="D94" s="72"/>
      <c r="E94" s="73" t="str">
        <f aca="false">IFERROR(AVERAGEIF('Registro de Fichas'!$D$7:$D$1200,$A94,'Registro de Fichas'!$G$7:$G$1200),"")</f>
        <v/>
      </c>
      <c r="F94" s="73" t="str">
        <f aca="false">IFERROR(AVERAGEIF('Registro de Fichas'!$D$7:$D$1200,$A94,'Registro de Fichas'!$H$7:$H$1200),"")</f>
        <v/>
      </c>
      <c r="G94" s="73" t="str">
        <f aca="false">IFERROR(AVERAGEIF('Registro de Fichas'!$D$7:$D$1200,$A94,'Registro de Fichas'!$I$7:$I$1200),"")</f>
        <v/>
      </c>
      <c r="H94" s="73" t="str">
        <f aca="false">IFERROR(AVERAGEIF('Registro de Fichas'!$D$7:$D$1200,$A94,'Registro de Fichas'!$J$7:$J$1200),"")</f>
        <v/>
      </c>
      <c r="I94" s="56" t="str">
        <f aca="false">IF($C94=0,"",IF($C94&gt;=Parametros!$B$27,"OK","FALTAN "&amp;(Parametros!$B$27-$C94)))</f>
        <v/>
      </c>
      <c r="J94" s="56" t="str">
        <f aca="false">IF($C94=0,"",SUMIF('Registro de Fichas'!$D$7:$D$1200,$A94,'Registro de Fichas'!$M$7:$M$1200))</f>
        <v/>
      </c>
      <c r="K94" s="74" t="n">
        <f aca="false">COUNTIFS('Registro de Fichas'!$D$7:$D$1200,$A94,'Registro de Fichas'!$K$7:$K$1200,"Contenedores")</f>
        <v>0</v>
      </c>
      <c r="L94" s="74" t="n">
        <f aca="false">COUNTIFS('Registro de Fichas'!$D$7:$D$1200,$A94,'Registro de Fichas'!$K$7:$K$1200,"Granel solido")</f>
        <v>0</v>
      </c>
      <c r="M94" s="74" t="n">
        <f aca="false">COUNTIFS('Registro de Fichas'!$D$7:$D$1200,$A94,'Registro de Fichas'!$K$7:$K$1200,"Carga fraccionada")</f>
        <v>0</v>
      </c>
      <c r="N94" s="74" t="n">
        <f aca="false">COUNTIFS('Registro de Fichas'!$D$7:$D$1200,$A94,'Registro de Fichas'!$K$7:$K$1200,"Big bags")</f>
        <v>0</v>
      </c>
      <c r="O94" s="74" t="n">
        <f aca="false">COUNTIFS('Registro de Fichas'!$D$7:$D$1200,$A94,'Registro de Fichas'!$L$7:$L$1200,"Si")</f>
        <v>0</v>
      </c>
      <c r="P94" s="75" t="str">
        <f aca="false">IF($C94=0,"",IF($C94&lt;Parametros!$B$27,"EVIDENCIA INSUFICIENTE",IF(AND($D94&lt;&gt;"",$C94&lt;$D94*Parametros!$B$28),"BAJO % MUESTREO",IF($J94&lt;Parametros!$B$31,"POCOS EVALUADORES","VALIDA"))))</f>
        <v/>
      </c>
    </row>
    <row r="95" customFormat="false" ht="15" hidden="false" customHeight="true" outlineLevel="0" collapsed="false">
      <c r="A95" s="72"/>
      <c r="B95" s="13" t="str">
        <f aca="false">IFERROR(INDEX('Registro de Fichas'!$E$7:$E$1200,MATCH($A95,'Registro de Fichas'!$D$7:$D$1200,0)),"")</f>
        <v/>
      </c>
      <c r="C95" s="26" t="n">
        <f aca="false">COUNTIF('Registro de Fichas'!$D$7:$D$1200,$A95)</f>
        <v>0</v>
      </c>
      <c r="D95" s="72"/>
      <c r="E95" s="73" t="str">
        <f aca="false">IFERROR(AVERAGEIF('Registro de Fichas'!$D$7:$D$1200,$A95,'Registro de Fichas'!$G$7:$G$1200),"")</f>
        <v/>
      </c>
      <c r="F95" s="73" t="str">
        <f aca="false">IFERROR(AVERAGEIF('Registro de Fichas'!$D$7:$D$1200,$A95,'Registro de Fichas'!$H$7:$H$1200),"")</f>
        <v/>
      </c>
      <c r="G95" s="73" t="str">
        <f aca="false">IFERROR(AVERAGEIF('Registro de Fichas'!$D$7:$D$1200,$A95,'Registro de Fichas'!$I$7:$I$1200),"")</f>
        <v/>
      </c>
      <c r="H95" s="73" t="str">
        <f aca="false">IFERROR(AVERAGEIF('Registro de Fichas'!$D$7:$D$1200,$A95,'Registro de Fichas'!$J$7:$J$1200),"")</f>
        <v/>
      </c>
      <c r="I95" s="38" t="str">
        <f aca="false">IF($C95=0,"",IF($C95&gt;=Parametros!$B$27,"OK","FALTAN "&amp;(Parametros!$B$27-$C95)))</f>
        <v/>
      </c>
      <c r="J95" s="38" t="str">
        <f aca="false">IF($C95=0,"",SUMIF('Registro de Fichas'!$D$7:$D$1200,$A95,'Registro de Fichas'!$M$7:$M$1200))</f>
        <v/>
      </c>
      <c r="K95" s="26" t="n">
        <f aca="false">COUNTIFS('Registro de Fichas'!$D$7:$D$1200,$A95,'Registro de Fichas'!$K$7:$K$1200,"Contenedores")</f>
        <v>0</v>
      </c>
      <c r="L95" s="26" t="n">
        <f aca="false">COUNTIFS('Registro de Fichas'!$D$7:$D$1200,$A95,'Registro de Fichas'!$K$7:$K$1200,"Granel solido")</f>
        <v>0</v>
      </c>
      <c r="M95" s="26" t="n">
        <f aca="false">COUNTIFS('Registro de Fichas'!$D$7:$D$1200,$A95,'Registro de Fichas'!$K$7:$K$1200,"Carga fraccionada")</f>
        <v>0</v>
      </c>
      <c r="N95" s="26" t="n">
        <f aca="false">COUNTIFS('Registro de Fichas'!$D$7:$D$1200,$A95,'Registro de Fichas'!$K$7:$K$1200,"Big bags")</f>
        <v>0</v>
      </c>
      <c r="O95" s="26" t="n">
        <f aca="false">COUNTIFS('Registro de Fichas'!$D$7:$D$1200,$A95,'Registro de Fichas'!$L$7:$L$1200,"Si")</f>
        <v>0</v>
      </c>
      <c r="P95" s="23" t="str">
        <f aca="false">IF($C95=0,"",IF($C95&lt;Parametros!$B$27,"EVIDENCIA INSUFICIENTE",IF(AND($D95&lt;&gt;"",$C95&lt;$D95*Parametros!$B$28),"BAJO % MUESTREO",IF($J95&lt;Parametros!$B$31,"POCOS EVALUADORES","VALIDA"))))</f>
        <v/>
      </c>
    </row>
    <row r="96" customFormat="false" ht="15" hidden="false" customHeight="true" outlineLevel="0" collapsed="false">
      <c r="A96" s="72"/>
      <c r="B96" s="16" t="str">
        <f aca="false">IFERROR(INDEX('Registro de Fichas'!$E$7:$E$1200,MATCH($A96,'Registro de Fichas'!$D$7:$D$1200,0)),"")</f>
        <v/>
      </c>
      <c r="C96" s="74" t="n">
        <f aca="false">COUNTIF('Registro de Fichas'!$D$7:$D$1200,$A96)</f>
        <v>0</v>
      </c>
      <c r="D96" s="72"/>
      <c r="E96" s="73" t="str">
        <f aca="false">IFERROR(AVERAGEIF('Registro de Fichas'!$D$7:$D$1200,$A96,'Registro de Fichas'!$G$7:$G$1200),"")</f>
        <v/>
      </c>
      <c r="F96" s="73" t="str">
        <f aca="false">IFERROR(AVERAGEIF('Registro de Fichas'!$D$7:$D$1200,$A96,'Registro de Fichas'!$H$7:$H$1200),"")</f>
        <v/>
      </c>
      <c r="G96" s="73" t="str">
        <f aca="false">IFERROR(AVERAGEIF('Registro de Fichas'!$D$7:$D$1200,$A96,'Registro de Fichas'!$I$7:$I$1200),"")</f>
        <v/>
      </c>
      <c r="H96" s="73" t="str">
        <f aca="false">IFERROR(AVERAGEIF('Registro de Fichas'!$D$7:$D$1200,$A96,'Registro de Fichas'!$J$7:$J$1200),"")</f>
        <v/>
      </c>
      <c r="I96" s="56" t="str">
        <f aca="false">IF($C96=0,"",IF($C96&gt;=Parametros!$B$27,"OK","FALTAN "&amp;(Parametros!$B$27-$C96)))</f>
        <v/>
      </c>
      <c r="J96" s="56" t="str">
        <f aca="false">IF($C96=0,"",SUMIF('Registro de Fichas'!$D$7:$D$1200,$A96,'Registro de Fichas'!$M$7:$M$1200))</f>
        <v/>
      </c>
      <c r="K96" s="74" t="n">
        <f aca="false">COUNTIFS('Registro de Fichas'!$D$7:$D$1200,$A96,'Registro de Fichas'!$K$7:$K$1200,"Contenedores")</f>
        <v>0</v>
      </c>
      <c r="L96" s="74" t="n">
        <f aca="false">COUNTIFS('Registro de Fichas'!$D$7:$D$1200,$A96,'Registro de Fichas'!$K$7:$K$1200,"Granel solido")</f>
        <v>0</v>
      </c>
      <c r="M96" s="74" t="n">
        <f aca="false">COUNTIFS('Registro de Fichas'!$D$7:$D$1200,$A96,'Registro de Fichas'!$K$7:$K$1200,"Carga fraccionada")</f>
        <v>0</v>
      </c>
      <c r="N96" s="74" t="n">
        <f aca="false">COUNTIFS('Registro de Fichas'!$D$7:$D$1200,$A96,'Registro de Fichas'!$K$7:$K$1200,"Big bags")</f>
        <v>0</v>
      </c>
      <c r="O96" s="74" t="n">
        <f aca="false">COUNTIFS('Registro de Fichas'!$D$7:$D$1200,$A96,'Registro de Fichas'!$L$7:$L$1200,"Si")</f>
        <v>0</v>
      </c>
      <c r="P96" s="75" t="str">
        <f aca="false">IF($C96=0,"",IF($C96&lt;Parametros!$B$27,"EVIDENCIA INSUFICIENTE",IF(AND($D96&lt;&gt;"",$C96&lt;$D96*Parametros!$B$28),"BAJO % MUESTREO",IF($J96&lt;Parametros!$B$31,"POCOS EVALUADORES","VALIDA"))))</f>
        <v/>
      </c>
    </row>
    <row r="97" customFormat="false" ht="15" hidden="false" customHeight="true" outlineLevel="0" collapsed="false">
      <c r="A97" s="72"/>
      <c r="B97" s="13" t="str">
        <f aca="false">IFERROR(INDEX('Registro de Fichas'!$E$7:$E$1200,MATCH($A97,'Registro de Fichas'!$D$7:$D$1200,0)),"")</f>
        <v/>
      </c>
      <c r="C97" s="26" t="n">
        <f aca="false">COUNTIF('Registro de Fichas'!$D$7:$D$1200,$A97)</f>
        <v>0</v>
      </c>
      <c r="D97" s="72"/>
      <c r="E97" s="73" t="str">
        <f aca="false">IFERROR(AVERAGEIF('Registro de Fichas'!$D$7:$D$1200,$A97,'Registro de Fichas'!$G$7:$G$1200),"")</f>
        <v/>
      </c>
      <c r="F97" s="73" t="str">
        <f aca="false">IFERROR(AVERAGEIF('Registro de Fichas'!$D$7:$D$1200,$A97,'Registro de Fichas'!$H$7:$H$1200),"")</f>
        <v/>
      </c>
      <c r="G97" s="73" t="str">
        <f aca="false">IFERROR(AVERAGEIF('Registro de Fichas'!$D$7:$D$1200,$A97,'Registro de Fichas'!$I$7:$I$1200),"")</f>
        <v/>
      </c>
      <c r="H97" s="73" t="str">
        <f aca="false">IFERROR(AVERAGEIF('Registro de Fichas'!$D$7:$D$1200,$A97,'Registro de Fichas'!$J$7:$J$1200),"")</f>
        <v/>
      </c>
      <c r="I97" s="38" t="str">
        <f aca="false">IF($C97=0,"",IF($C97&gt;=Parametros!$B$27,"OK","FALTAN "&amp;(Parametros!$B$27-$C97)))</f>
        <v/>
      </c>
      <c r="J97" s="38" t="str">
        <f aca="false">IF($C97=0,"",SUMIF('Registro de Fichas'!$D$7:$D$1200,$A97,'Registro de Fichas'!$M$7:$M$1200))</f>
        <v/>
      </c>
      <c r="K97" s="26" t="n">
        <f aca="false">COUNTIFS('Registro de Fichas'!$D$7:$D$1200,$A97,'Registro de Fichas'!$K$7:$K$1200,"Contenedores")</f>
        <v>0</v>
      </c>
      <c r="L97" s="26" t="n">
        <f aca="false">COUNTIFS('Registro de Fichas'!$D$7:$D$1200,$A97,'Registro de Fichas'!$K$7:$K$1200,"Granel solido")</f>
        <v>0</v>
      </c>
      <c r="M97" s="26" t="n">
        <f aca="false">COUNTIFS('Registro de Fichas'!$D$7:$D$1200,$A97,'Registro de Fichas'!$K$7:$K$1200,"Carga fraccionada")</f>
        <v>0</v>
      </c>
      <c r="N97" s="26" t="n">
        <f aca="false">COUNTIFS('Registro de Fichas'!$D$7:$D$1200,$A97,'Registro de Fichas'!$K$7:$K$1200,"Big bags")</f>
        <v>0</v>
      </c>
      <c r="O97" s="26" t="n">
        <f aca="false">COUNTIFS('Registro de Fichas'!$D$7:$D$1200,$A97,'Registro de Fichas'!$L$7:$L$1200,"Si")</f>
        <v>0</v>
      </c>
      <c r="P97" s="23" t="str">
        <f aca="false">IF($C97=0,"",IF($C97&lt;Parametros!$B$27,"EVIDENCIA INSUFICIENTE",IF(AND($D97&lt;&gt;"",$C97&lt;$D97*Parametros!$B$28),"BAJO % MUESTREO",IF($J97&lt;Parametros!$B$31,"POCOS EVALUADORES","VALIDA"))))</f>
        <v/>
      </c>
    </row>
    <row r="98" customFormat="false" ht="15" hidden="false" customHeight="true" outlineLevel="0" collapsed="false">
      <c r="A98" s="72"/>
      <c r="B98" s="16" t="str">
        <f aca="false">IFERROR(INDEX('Registro de Fichas'!$E$7:$E$1200,MATCH($A98,'Registro de Fichas'!$D$7:$D$1200,0)),"")</f>
        <v/>
      </c>
      <c r="C98" s="74" t="n">
        <f aca="false">COUNTIF('Registro de Fichas'!$D$7:$D$1200,$A98)</f>
        <v>0</v>
      </c>
      <c r="D98" s="72"/>
      <c r="E98" s="73" t="str">
        <f aca="false">IFERROR(AVERAGEIF('Registro de Fichas'!$D$7:$D$1200,$A98,'Registro de Fichas'!$G$7:$G$1200),"")</f>
        <v/>
      </c>
      <c r="F98" s="73" t="str">
        <f aca="false">IFERROR(AVERAGEIF('Registro de Fichas'!$D$7:$D$1200,$A98,'Registro de Fichas'!$H$7:$H$1200),"")</f>
        <v/>
      </c>
      <c r="G98" s="73" t="str">
        <f aca="false">IFERROR(AVERAGEIF('Registro de Fichas'!$D$7:$D$1200,$A98,'Registro de Fichas'!$I$7:$I$1200),"")</f>
        <v/>
      </c>
      <c r="H98" s="73" t="str">
        <f aca="false">IFERROR(AVERAGEIF('Registro de Fichas'!$D$7:$D$1200,$A98,'Registro de Fichas'!$J$7:$J$1200),"")</f>
        <v/>
      </c>
      <c r="I98" s="56" t="str">
        <f aca="false">IF($C98=0,"",IF($C98&gt;=Parametros!$B$27,"OK","FALTAN "&amp;(Parametros!$B$27-$C98)))</f>
        <v/>
      </c>
      <c r="J98" s="56" t="str">
        <f aca="false">IF($C98=0,"",SUMIF('Registro de Fichas'!$D$7:$D$1200,$A98,'Registro de Fichas'!$M$7:$M$1200))</f>
        <v/>
      </c>
      <c r="K98" s="74" t="n">
        <f aca="false">COUNTIFS('Registro de Fichas'!$D$7:$D$1200,$A98,'Registro de Fichas'!$K$7:$K$1200,"Contenedores")</f>
        <v>0</v>
      </c>
      <c r="L98" s="74" t="n">
        <f aca="false">COUNTIFS('Registro de Fichas'!$D$7:$D$1200,$A98,'Registro de Fichas'!$K$7:$K$1200,"Granel solido")</f>
        <v>0</v>
      </c>
      <c r="M98" s="74" t="n">
        <f aca="false">COUNTIFS('Registro de Fichas'!$D$7:$D$1200,$A98,'Registro de Fichas'!$K$7:$K$1200,"Carga fraccionada")</f>
        <v>0</v>
      </c>
      <c r="N98" s="74" t="n">
        <f aca="false">COUNTIFS('Registro de Fichas'!$D$7:$D$1200,$A98,'Registro de Fichas'!$K$7:$K$1200,"Big bags")</f>
        <v>0</v>
      </c>
      <c r="O98" s="74" t="n">
        <f aca="false">COUNTIFS('Registro de Fichas'!$D$7:$D$1200,$A98,'Registro de Fichas'!$L$7:$L$1200,"Si")</f>
        <v>0</v>
      </c>
      <c r="P98" s="75" t="str">
        <f aca="false">IF($C98=0,"",IF($C98&lt;Parametros!$B$27,"EVIDENCIA INSUFICIENTE",IF(AND($D98&lt;&gt;"",$C98&lt;$D98*Parametros!$B$28),"BAJO % MUESTREO",IF($J98&lt;Parametros!$B$31,"POCOS EVALUADORES","VALIDA"))))</f>
        <v/>
      </c>
    </row>
    <row r="99" customFormat="false" ht="15" hidden="false" customHeight="true" outlineLevel="0" collapsed="false">
      <c r="A99" s="72"/>
      <c r="B99" s="13" t="str">
        <f aca="false">IFERROR(INDEX('Registro de Fichas'!$E$7:$E$1200,MATCH($A99,'Registro de Fichas'!$D$7:$D$1200,0)),"")</f>
        <v/>
      </c>
      <c r="C99" s="26" t="n">
        <f aca="false">COUNTIF('Registro de Fichas'!$D$7:$D$1200,$A99)</f>
        <v>0</v>
      </c>
      <c r="D99" s="72"/>
      <c r="E99" s="73" t="str">
        <f aca="false">IFERROR(AVERAGEIF('Registro de Fichas'!$D$7:$D$1200,$A99,'Registro de Fichas'!$G$7:$G$1200),"")</f>
        <v/>
      </c>
      <c r="F99" s="73" t="str">
        <f aca="false">IFERROR(AVERAGEIF('Registro de Fichas'!$D$7:$D$1200,$A99,'Registro de Fichas'!$H$7:$H$1200),"")</f>
        <v/>
      </c>
      <c r="G99" s="73" t="str">
        <f aca="false">IFERROR(AVERAGEIF('Registro de Fichas'!$D$7:$D$1200,$A99,'Registro de Fichas'!$I$7:$I$1200),"")</f>
        <v/>
      </c>
      <c r="H99" s="73" t="str">
        <f aca="false">IFERROR(AVERAGEIF('Registro de Fichas'!$D$7:$D$1200,$A99,'Registro de Fichas'!$J$7:$J$1200),"")</f>
        <v/>
      </c>
      <c r="I99" s="38" t="str">
        <f aca="false">IF($C99=0,"",IF($C99&gt;=Parametros!$B$27,"OK","FALTAN "&amp;(Parametros!$B$27-$C99)))</f>
        <v/>
      </c>
      <c r="J99" s="38" t="str">
        <f aca="false">IF($C99=0,"",SUMIF('Registro de Fichas'!$D$7:$D$1200,$A99,'Registro de Fichas'!$M$7:$M$1200))</f>
        <v/>
      </c>
      <c r="K99" s="26" t="n">
        <f aca="false">COUNTIFS('Registro de Fichas'!$D$7:$D$1200,$A99,'Registro de Fichas'!$K$7:$K$1200,"Contenedores")</f>
        <v>0</v>
      </c>
      <c r="L99" s="26" t="n">
        <f aca="false">COUNTIFS('Registro de Fichas'!$D$7:$D$1200,$A99,'Registro de Fichas'!$K$7:$K$1200,"Granel solido")</f>
        <v>0</v>
      </c>
      <c r="M99" s="26" t="n">
        <f aca="false">COUNTIFS('Registro de Fichas'!$D$7:$D$1200,$A99,'Registro de Fichas'!$K$7:$K$1200,"Carga fraccionada")</f>
        <v>0</v>
      </c>
      <c r="N99" s="26" t="n">
        <f aca="false">COUNTIFS('Registro de Fichas'!$D$7:$D$1200,$A99,'Registro de Fichas'!$K$7:$K$1200,"Big bags")</f>
        <v>0</v>
      </c>
      <c r="O99" s="26" t="n">
        <f aca="false">COUNTIFS('Registro de Fichas'!$D$7:$D$1200,$A99,'Registro de Fichas'!$L$7:$L$1200,"Si")</f>
        <v>0</v>
      </c>
      <c r="P99" s="23" t="str">
        <f aca="false">IF($C99=0,"",IF($C99&lt;Parametros!$B$27,"EVIDENCIA INSUFICIENTE",IF(AND($D99&lt;&gt;"",$C99&lt;$D99*Parametros!$B$28),"BAJO % MUESTREO",IF($J99&lt;Parametros!$B$31,"POCOS EVALUADORES","VALIDA"))))</f>
        <v/>
      </c>
    </row>
    <row r="100" customFormat="false" ht="15" hidden="false" customHeight="true" outlineLevel="0" collapsed="false">
      <c r="A100" s="72"/>
      <c r="B100" s="16" t="str">
        <f aca="false">IFERROR(INDEX('Registro de Fichas'!$E$7:$E$1200,MATCH($A100,'Registro de Fichas'!$D$7:$D$1200,0)),"")</f>
        <v/>
      </c>
      <c r="C100" s="74" t="n">
        <f aca="false">COUNTIF('Registro de Fichas'!$D$7:$D$1200,$A100)</f>
        <v>0</v>
      </c>
      <c r="D100" s="72"/>
      <c r="E100" s="73" t="str">
        <f aca="false">IFERROR(AVERAGEIF('Registro de Fichas'!$D$7:$D$1200,$A100,'Registro de Fichas'!$G$7:$G$1200),"")</f>
        <v/>
      </c>
      <c r="F100" s="73" t="str">
        <f aca="false">IFERROR(AVERAGEIF('Registro de Fichas'!$D$7:$D$1200,$A100,'Registro de Fichas'!$H$7:$H$1200),"")</f>
        <v/>
      </c>
      <c r="G100" s="73" t="str">
        <f aca="false">IFERROR(AVERAGEIF('Registro de Fichas'!$D$7:$D$1200,$A100,'Registro de Fichas'!$I$7:$I$1200),"")</f>
        <v/>
      </c>
      <c r="H100" s="73" t="str">
        <f aca="false">IFERROR(AVERAGEIF('Registro de Fichas'!$D$7:$D$1200,$A100,'Registro de Fichas'!$J$7:$J$1200),"")</f>
        <v/>
      </c>
      <c r="I100" s="56" t="str">
        <f aca="false">IF($C100=0,"",IF($C100&gt;=Parametros!$B$27,"OK","FALTAN "&amp;(Parametros!$B$27-$C100)))</f>
        <v/>
      </c>
      <c r="J100" s="56" t="str">
        <f aca="false">IF($C100=0,"",SUMIF('Registro de Fichas'!$D$7:$D$1200,$A100,'Registro de Fichas'!$M$7:$M$1200))</f>
        <v/>
      </c>
      <c r="K100" s="74" t="n">
        <f aca="false">COUNTIFS('Registro de Fichas'!$D$7:$D$1200,$A100,'Registro de Fichas'!$K$7:$K$1200,"Contenedores")</f>
        <v>0</v>
      </c>
      <c r="L100" s="74" t="n">
        <f aca="false">COUNTIFS('Registro de Fichas'!$D$7:$D$1200,$A100,'Registro de Fichas'!$K$7:$K$1200,"Granel solido")</f>
        <v>0</v>
      </c>
      <c r="M100" s="74" t="n">
        <f aca="false">COUNTIFS('Registro de Fichas'!$D$7:$D$1200,$A100,'Registro de Fichas'!$K$7:$K$1200,"Carga fraccionada")</f>
        <v>0</v>
      </c>
      <c r="N100" s="74" t="n">
        <f aca="false">COUNTIFS('Registro de Fichas'!$D$7:$D$1200,$A100,'Registro de Fichas'!$K$7:$K$1200,"Big bags")</f>
        <v>0</v>
      </c>
      <c r="O100" s="74" t="n">
        <f aca="false">COUNTIFS('Registro de Fichas'!$D$7:$D$1200,$A100,'Registro de Fichas'!$L$7:$L$1200,"Si")</f>
        <v>0</v>
      </c>
      <c r="P100" s="75" t="str">
        <f aca="false">IF($C100=0,"",IF($C100&lt;Parametros!$B$27,"EVIDENCIA INSUFICIENTE",IF(AND($D100&lt;&gt;"",$C100&lt;$D100*Parametros!$B$28),"BAJO % MUESTREO",IF($J100&lt;Parametros!$B$31,"POCOS EVALUADORES","VALIDA"))))</f>
        <v/>
      </c>
    </row>
    <row r="101" customFormat="false" ht="15" hidden="false" customHeight="true" outlineLevel="0" collapsed="false">
      <c r="A101" s="72"/>
      <c r="B101" s="13" t="str">
        <f aca="false">IFERROR(INDEX('Registro de Fichas'!$E$7:$E$1200,MATCH($A101,'Registro de Fichas'!$D$7:$D$1200,0)),"")</f>
        <v/>
      </c>
      <c r="C101" s="26" t="n">
        <f aca="false">COUNTIF('Registro de Fichas'!$D$7:$D$1200,$A101)</f>
        <v>0</v>
      </c>
      <c r="D101" s="72"/>
      <c r="E101" s="73" t="str">
        <f aca="false">IFERROR(AVERAGEIF('Registro de Fichas'!$D$7:$D$1200,$A101,'Registro de Fichas'!$G$7:$G$1200),"")</f>
        <v/>
      </c>
      <c r="F101" s="73" t="str">
        <f aca="false">IFERROR(AVERAGEIF('Registro de Fichas'!$D$7:$D$1200,$A101,'Registro de Fichas'!$H$7:$H$1200),"")</f>
        <v/>
      </c>
      <c r="G101" s="73" t="str">
        <f aca="false">IFERROR(AVERAGEIF('Registro de Fichas'!$D$7:$D$1200,$A101,'Registro de Fichas'!$I$7:$I$1200),"")</f>
        <v/>
      </c>
      <c r="H101" s="73" t="str">
        <f aca="false">IFERROR(AVERAGEIF('Registro de Fichas'!$D$7:$D$1200,$A101,'Registro de Fichas'!$J$7:$J$1200),"")</f>
        <v/>
      </c>
      <c r="I101" s="38" t="str">
        <f aca="false">IF($C101=0,"",IF($C101&gt;=Parametros!$B$27,"OK","FALTAN "&amp;(Parametros!$B$27-$C101)))</f>
        <v/>
      </c>
      <c r="J101" s="38" t="str">
        <f aca="false">IF($C101=0,"",SUMIF('Registro de Fichas'!$D$7:$D$1200,$A101,'Registro de Fichas'!$M$7:$M$1200))</f>
        <v/>
      </c>
      <c r="K101" s="26" t="n">
        <f aca="false">COUNTIFS('Registro de Fichas'!$D$7:$D$1200,$A101,'Registro de Fichas'!$K$7:$K$1200,"Contenedores")</f>
        <v>0</v>
      </c>
      <c r="L101" s="26" t="n">
        <f aca="false">COUNTIFS('Registro de Fichas'!$D$7:$D$1200,$A101,'Registro de Fichas'!$K$7:$K$1200,"Granel solido")</f>
        <v>0</v>
      </c>
      <c r="M101" s="26" t="n">
        <f aca="false">COUNTIFS('Registro de Fichas'!$D$7:$D$1200,$A101,'Registro de Fichas'!$K$7:$K$1200,"Carga fraccionada")</f>
        <v>0</v>
      </c>
      <c r="N101" s="26" t="n">
        <f aca="false">COUNTIFS('Registro de Fichas'!$D$7:$D$1200,$A101,'Registro de Fichas'!$K$7:$K$1200,"Big bags")</f>
        <v>0</v>
      </c>
      <c r="O101" s="26" t="n">
        <f aca="false">COUNTIFS('Registro de Fichas'!$D$7:$D$1200,$A101,'Registro de Fichas'!$L$7:$L$1200,"Si")</f>
        <v>0</v>
      </c>
      <c r="P101" s="23" t="str">
        <f aca="false">IF($C101=0,"",IF($C101&lt;Parametros!$B$27,"EVIDENCIA INSUFICIENTE",IF(AND($D101&lt;&gt;"",$C101&lt;$D101*Parametros!$B$28),"BAJO % MUESTREO",IF($J101&lt;Parametros!$B$31,"POCOS EVALUADORES","VALIDA"))))</f>
        <v/>
      </c>
    </row>
    <row r="102" customFormat="false" ht="15" hidden="false" customHeight="true" outlineLevel="0" collapsed="false">
      <c r="A102" s="72"/>
      <c r="B102" s="16" t="str">
        <f aca="false">IFERROR(INDEX('Registro de Fichas'!$E$7:$E$1200,MATCH($A102,'Registro de Fichas'!$D$7:$D$1200,0)),"")</f>
        <v/>
      </c>
      <c r="C102" s="74" t="n">
        <f aca="false">COUNTIF('Registro de Fichas'!$D$7:$D$1200,$A102)</f>
        <v>0</v>
      </c>
      <c r="D102" s="72"/>
      <c r="E102" s="73" t="str">
        <f aca="false">IFERROR(AVERAGEIF('Registro de Fichas'!$D$7:$D$1200,$A102,'Registro de Fichas'!$G$7:$G$1200),"")</f>
        <v/>
      </c>
      <c r="F102" s="73" t="str">
        <f aca="false">IFERROR(AVERAGEIF('Registro de Fichas'!$D$7:$D$1200,$A102,'Registro de Fichas'!$H$7:$H$1200),"")</f>
        <v/>
      </c>
      <c r="G102" s="73" t="str">
        <f aca="false">IFERROR(AVERAGEIF('Registro de Fichas'!$D$7:$D$1200,$A102,'Registro de Fichas'!$I$7:$I$1200),"")</f>
        <v/>
      </c>
      <c r="H102" s="73" t="str">
        <f aca="false">IFERROR(AVERAGEIF('Registro de Fichas'!$D$7:$D$1200,$A102,'Registro de Fichas'!$J$7:$J$1200),"")</f>
        <v/>
      </c>
      <c r="I102" s="56" t="str">
        <f aca="false">IF($C102=0,"",IF($C102&gt;=Parametros!$B$27,"OK","FALTAN "&amp;(Parametros!$B$27-$C102)))</f>
        <v/>
      </c>
      <c r="J102" s="56" t="str">
        <f aca="false">IF($C102=0,"",SUMIF('Registro de Fichas'!$D$7:$D$1200,$A102,'Registro de Fichas'!$M$7:$M$1200))</f>
        <v/>
      </c>
      <c r="K102" s="74" t="n">
        <f aca="false">COUNTIFS('Registro de Fichas'!$D$7:$D$1200,$A102,'Registro de Fichas'!$K$7:$K$1200,"Contenedores")</f>
        <v>0</v>
      </c>
      <c r="L102" s="74" t="n">
        <f aca="false">COUNTIFS('Registro de Fichas'!$D$7:$D$1200,$A102,'Registro de Fichas'!$K$7:$K$1200,"Granel solido")</f>
        <v>0</v>
      </c>
      <c r="M102" s="74" t="n">
        <f aca="false">COUNTIFS('Registro de Fichas'!$D$7:$D$1200,$A102,'Registro de Fichas'!$K$7:$K$1200,"Carga fraccionada")</f>
        <v>0</v>
      </c>
      <c r="N102" s="74" t="n">
        <f aca="false">COUNTIFS('Registro de Fichas'!$D$7:$D$1200,$A102,'Registro de Fichas'!$K$7:$K$1200,"Big bags")</f>
        <v>0</v>
      </c>
      <c r="O102" s="74" t="n">
        <f aca="false">COUNTIFS('Registro de Fichas'!$D$7:$D$1200,$A102,'Registro de Fichas'!$L$7:$L$1200,"Si")</f>
        <v>0</v>
      </c>
      <c r="P102" s="75" t="str">
        <f aca="false">IF($C102=0,"",IF($C102&lt;Parametros!$B$27,"EVIDENCIA INSUFICIENTE",IF(AND($D102&lt;&gt;"",$C102&lt;$D102*Parametros!$B$28),"BAJO % MUESTREO",IF($J102&lt;Parametros!$B$31,"POCOS EVALUADORES","VALIDA"))))</f>
        <v/>
      </c>
    </row>
    <row r="103" customFormat="false" ht="15" hidden="false" customHeight="true" outlineLevel="0" collapsed="false">
      <c r="A103" s="72"/>
      <c r="B103" s="13" t="str">
        <f aca="false">IFERROR(INDEX('Registro de Fichas'!$E$7:$E$1200,MATCH($A103,'Registro de Fichas'!$D$7:$D$1200,0)),"")</f>
        <v/>
      </c>
      <c r="C103" s="26" t="n">
        <f aca="false">COUNTIF('Registro de Fichas'!$D$7:$D$1200,$A103)</f>
        <v>0</v>
      </c>
      <c r="D103" s="72"/>
      <c r="E103" s="73" t="str">
        <f aca="false">IFERROR(AVERAGEIF('Registro de Fichas'!$D$7:$D$1200,$A103,'Registro de Fichas'!$G$7:$G$1200),"")</f>
        <v/>
      </c>
      <c r="F103" s="73" t="str">
        <f aca="false">IFERROR(AVERAGEIF('Registro de Fichas'!$D$7:$D$1200,$A103,'Registro de Fichas'!$H$7:$H$1200),"")</f>
        <v/>
      </c>
      <c r="G103" s="73" t="str">
        <f aca="false">IFERROR(AVERAGEIF('Registro de Fichas'!$D$7:$D$1200,$A103,'Registro de Fichas'!$I$7:$I$1200),"")</f>
        <v/>
      </c>
      <c r="H103" s="73" t="str">
        <f aca="false">IFERROR(AVERAGEIF('Registro de Fichas'!$D$7:$D$1200,$A103,'Registro de Fichas'!$J$7:$J$1200),"")</f>
        <v/>
      </c>
      <c r="I103" s="38" t="str">
        <f aca="false">IF($C103=0,"",IF($C103&gt;=Parametros!$B$27,"OK","FALTAN "&amp;(Parametros!$B$27-$C103)))</f>
        <v/>
      </c>
      <c r="J103" s="38" t="str">
        <f aca="false">IF($C103=0,"",SUMIF('Registro de Fichas'!$D$7:$D$1200,$A103,'Registro de Fichas'!$M$7:$M$1200))</f>
        <v/>
      </c>
      <c r="K103" s="26" t="n">
        <f aca="false">COUNTIFS('Registro de Fichas'!$D$7:$D$1200,$A103,'Registro de Fichas'!$K$7:$K$1200,"Contenedores")</f>
        <v>0</v>
      </c>
      <c r="L103" s="26" t="n">
        <f aca="false">COUNTIFS('Registro de Fichas'!$D$7:$D$1200,$A103,'Registro de Fichas'!$K$7:$K$1200,"Granel solido")</f>
        <v>0</v>
      </c>
      <c r="M103" s="26" t="n">
        <f aca="false">COUNTIFS('Registro de Fichas'!$D$7:$D$1200,$A103,'Registro de Fichas'!$K$7:$K$1200,"Carga fraccionada")</f>
        <v>0</v>
      </c>
      <c r="N103" s="26" t="n">
        <f aca="false">COUNTIFS('Registro de Fichas'!$D$7:$D$1200,$A103,'Registro de Fichas'!$K$7:$K$1200,"Big bags")</f>
        <v>0</v>
      </c>
      <c r="O103" s="26" t="n">
        <f aca="false">COUNTIFS('Registro de Fichas'!$D$7:$D$1200,$A103,'Registro de Fichas'!$L$7:$L$1200,"Si")</f>
        <v>0</v>
      </c>
      <c r="P103" s="23" t="str">
        <f aca="false">IF($C103=0,"",IF($C103&lt;Parametros!$B$27,"EVIDENCIA INSUFICIENTE",IF(AND($D103&lt;&gt;"",$C103&lt;$D103*Parametros!$B$28),"BAJO % MUESTREO",IF($J103&lt;Parametros!$B$31,"POCOS EVALUADORES","VALIDA"))))</f>
        <v/>
      </c>
    </row>
    <row r="104" customFormat="false" ht="15" hidden="false" customHeight="true" outlineLevel="0" collapsed="false">
      <c r="A104" s="72"/>
      <c r="B104" s="16" t="str">
        <f aca="false">IFERROR(INDEX('Registro de Fichas'!$E$7:$E$1200,MATCH($A104,'Registro de Fichas'!$D$7:$D$1200,0)),"")</f>
        <v/>
      </c>
      <c r="C104" s="74" t="n">
        <f aca="false">COUNTIF('Registro de Fichas'!$D$7:$D$1200,$A104)</f>
        <v>0</v>
      </c>
      <c r="D104" s="72"/>
      <c r="E104" s="73" t="str">
        <f aca="false">IFERROR(AVERAGEIF('Registro de Fichas'!$D$7:$D$1200,$A104,'Registro de Fichas'!$G$7:$G$1200),"")</f>
        <v/>
      </c>
      <c r="F104" s="73" t="str">
        <f aca="false">IFERROR(AVERAGEIF('Registro de Fichas'!$D$7:$D$1200,$A104,'Registro de Fichas'!$H$7:$H$1200),"")</f>
        <v/>
      </c>
      <c r="G104" s="73" t="str">
        <f aca="false">IFERROR(AVERAGEIF('Registro de Fichas'!$D$7:$D$1200,$A104,'Registro de Fichas'!$I$7:$I$1200),"")</f>
        <v/>
      </c>
      <c r="H104" s="73" t="str">
        <f aca="false">IFERROR(AVERAGEIF('Registro de Fichas'!$D$7:$D$1200,$A104,'Registro de Fichas'!$J$7:$J$1200),"")</f>
        <v/>
      </c>
      <c r="I104" s="56" t="str">
        <f aca="false">IF($C104=0,"",IF($C104&gt;=Parametros!$B$27,"OK","FALTAN "&amp;(Parametros!$B$27-$C104)))</f>
        <v/>
      </c>
      <c r="J104" s="56" t="str">
        <f aca="false">IF($C104=0,"",SUMIF('Registro de Fichas'!$D$7:$D$1200,$A104,'Registro de Fichas'!$M$7:$M$1200))</f>
        <v/>
      </c>
      <c r="K104" s="74" t="n">
        <f aca="false">COUNTIFS('Registro de Fichas'!$D$7:$D$1200,$A104,'Registro de Fichas'!$K$7:$K$1200,"Contenedores")</f>
        <v>0</v>
      </c>
      <c r="L104" s="74" t="n">
        <f aca="false">COUNTIFS('Registro de Fichas'!$D$7:$D$1200,$A104,'Registro de Fichas'!$K$7:$K$1200,"Granel solido")</f>
        <v>0</v>
      </c>
      <c r="M104" s="74" t="n">
        <f aca="false">COUNTIFS('Registro de Fichas'!$D$7:$D$1200,$A104,'Registro de Fichas'!$K$7:$K$1200,"Carga fraccionada")</f>
        <v>0</v>
      </c>
      <c r="N104" s="74" t="n">
        <f aca="false">COUNTIFS('Registro de Fichas'!$D$7:$D$1200,$A104,'Registro de Fichas'!$K$7:$K$1200,"Big bags")</f>
        <v>0</v>
      </c>
      <c r="O104" s="74" t="n">
        <f aca="false">COUNTIFS('Registro de Fichas'!$D$7:$D$1200,$A104,'Registro de Fichas'!$L$7:$L$1200,"Si")</f>
        <v>0</v>
      </c>
      <c r="P104" s="75" t="str">
        <f aca="false">IF($C104=0,"",IF($C104&lt;Parametros!$B$27,"EVIDENCIA INSUFICIENTE",IF(AND($D104&lt;&gt;"",$C104&lt;$D104*Parametros!$B$28),"BAJO % MUESTREO",IF($J104&lt;Parametros!$B$31,"POCOS EVALUADORES","VALIDA"))))</f>
        <v/>
      </c>
    </row>
    <row r="105" customFormat="false" ht="15" hidden="false" customHeight="true" outlineLevel="0" collapsed="false">
      <c r="A105" s="72"/>
      <c r="B105" s="13" t="str">
        <f aca="false">IFERROR(INDEX('Registro de Fichas'!$E$7:$E$1200,MATCH($A105,'Registro de Fichas'!$D$7:$D$1200,0)),"")</f>
        <v/>
      </c>
      <c r="C105" s="26" t="n">
        <f aca="false">COUNTIF('Registro de Fichas'!$D$7:$D$1200,$A105)</f>
        <v>0</v>
      </c>
      <c r="D105" s="72"/>
      <c r="E105" s="73" t="str">
        <f aca="false">IFERROR(AVERAGEIF('Registro de Fichas'!$D$7:$D$1200,$A105,'Registro de Fichas'!$G$7:$G$1200),"")</f>
        <v/>
      </c>
      <c r="F105" s="73" t="str">
        <f aca="false">IFERROR(AVERAGEIF('Registro de Fichas'!$D$7:$D$1200,$A105,'Registro de Fichas'!$H$7:$H$1200),"")</f>
        <v/>
      </c>
      <c r="G105" s="73" t="str">
        <f aca="false">IFERROR(AVERAGEIF('Registro de Fichas'!$D$7:$D$1200,$A105,'Registro de Fichas'!$I$7:$I$1200),"")</f>
        <v/>
      </c>
      <c r="H105" s="73" t="str">
        <f aca="false">IFERROR(AVERAGEIF('Registro de Fichas'!$D$7:$D$1200,$A105,'Registro de Fichas'!$J$7:$J$1200),"")</f>
        <v/>
      </c>
      <c r="I105" s="38" t="str">
        <f aca="false">IF($C105=0,"",IF($C105&gt;=Parametros!$B$27,"OK","FALTAN "&amp;(Parametros!$B$27-$C105)))</f>
        <v/>
      </c>
      <c r="J105" s="38" t="str">
        <f aca="false">IF($C105=0,"",SUMIF('Registro de Fichas'!$D$7:$D$1200,$A105,'Registro de Fichas'!$M$7:$M$1200))</f>
        <v/>
      </c>
      <c r="K105" s="26" t="n">
        <f aca="false">COUNTIFS('Registro de Fichas'!$D$7:$D$1200,$A105,'Registro de Fichas'!$K$7:$K$1200,"Contenedores")</f>
        <v>0</v>
      </c>
      <c r="L105" s="26" t="n">
        <f aca="false">COUNTIFS('Registro de Fichas'!$D$7:$D$1200,$A105,'Registro de Fichas'!$K$7:$K$1200,"Granel solido")</f>
        <v>0</v>
      </c>
      <c r="M105" s="26" t="n">
        <f aca="false">COUNTIFS('Registro de Fichas'!$D$7:$D$1200,$A105,'Registro de Fichas'!$K$7:$K$1200,"Carga fraccionada")</f>
        <v>0</v>
      </c>
      <c r="N105" s="26" t="n">
        <f aca="false">COUNTIFS('Registro de Fichas'!$D$7:$D$1200,$A105,'Registro de Fichas'!$K$7:$K$1200,"Big bags")</f>
        <v>0</v>
      </c>
      <c r="O105" s="26" t="n">
        <f aca="false">COUNTIFS('Registro de Fichas'!$D$7:$D$1200,$A105,'Registro de Fichas'!$L$7:$L$1200,"Si")</f>
        <v>0</v>
      </c>
      <c r="P105" s="23" t="str">
        <f aca="false">IF($C105=0,"",IF($C105&lt;Parametros!$B$27,"EVIDENCIA INSUFICIENTE",IF(AND($D105&lt;&gt;"",$C105&lt;$D105*Parametros!$B$28),"BAJO % MUESTREO",IF($J105&lt;Parametros!$B$31,"POCOS EVALUADORES","VALIDA"))))</f>
        <v/>
      </c>
    </row>
    <row r="106" customFormat="false" ht="15" hidden="false" customHeight="true" outlineLevel="0" collapsed="false">
      <c r="A106" s="72"/>
      <c r="B106" s="16" t="str">
        <f aca="false">IFERROR(INDEX('Registro de Fichas'!$E$7:$E$1200,MATCH($A106,'Registro de Fichas'!$D$7:$D$1200,0)),"")</f>
        <v/>
      </c>
      <c r="C106" s="74" t="n">
        <f aca="false">COUNTIF('Registro de Fichas'!$D$7:$D$1200,$A106)</f>
        <v>0</v>
      </c>
      <c r="D106" s="72"/>
      <c r="E106" s="73" t="str">
        <f aca="false">IFERROR(AVERAGEIF('Registro de Fichas'!$D$7:$D$1200,$A106,'Registro de Fichas'!$G$7:$G$1200),"")</f>
        <v/>
      </c>
      <c r="F106" s="73" t="str">
        <f aca="false">IFERROR(AVERAGEIF('Registro de Fichas'!$D$7:$D$1200,$A106,'Registro de Fichas'!$H$7:$H$1200),"")</f>
        <v/>
      </c>
      <c r="G106" s="73" t="str">
        <f aca="false">IFERROR(AVERAGEIF('Registro de Fichas'!$D$7:$D$1200,$A106,'Registro de Fichas'!$I$7:$I$1200),"")</f>
        <v/>
      </c>
      <c r="H106" s="73" t="str">
        <f aca="false">IFERROR(AVERAGEIF('Registro de Fichas'!$D$7:$D$1200,$A106,'Registro de Fichas'!$J$7:$J$1200),"")</f>
        <v/>
      </c>
      <c r="I106" s="56" t="str">
        <f aca="false">IF($C106=0,"",IF($C106&gt;=Parametros!$B$27,"OK","FALTAN "&amp;(Parametros!$B$27-$C106)))</f>
        <v/>
      </c>
      <c r="J106" s="56" t="str">
        <f aca="false">IF($C106=0,"",SUMIF('Registro de Fichas'!$D$7:$D$1200,$A106,'Registro de Fichas'!$M$7:$M$1200))</f>
        <v/>
      </c>
      <c r="K106" s="74" t="n">
        <f aca="false">COUNTIFS('Registro de Fichas'!$D$7:$D$1200,$A106,'Registro de Fichas'!$K$7:$K$1200,"Contenedores")</f>
        <v>0</v>
      </c>
      <c r="L106" s="74" t="n">
        <f aca="false">COUNTIFS('Registro de Fichas'!$D$7:$D$1200,$A106,'Registro de Fichas'!$K$7:$K$1200,"Granel solido")</f>
        <v>0</v>
      </c>
      <c r="M106" s="74" t="n">
        <f aca="false">COUNTIFS('Registro de Fichas'!$D$7:$D$1200,$A106,'Registro de Fichas'!$K$7:$K$1200,"Carga fraccionada")</f>
        <v>0</v>
      </c>
      <c r="N106" s="74" t="n">
        <f aca="false">COUNTIFS('Registro de Fichas'!$D$7:$D$1200,$A106,'Registro de Fichas'!$K$7:$K$1200,"Big bags")</f>
        <v>0</v>
      </c>
      <c r="O106" s="74" t="n">
        <f aca="false">COUNTIFS('Registro de Fichas'!$D$7:$D$1200,$A106,'Registro de Fichas'!$L$7:$L$1200,"Si")</f>
        <v>0</v>
      </c>
      <c r="P106" s="75" t="str">
        <f aca="false">IF($C106=0,"",IF($C106&lt;Parametros!$B$27,"EVIDENCIA INSUFICIENTE",IF(AND($D106&lt;&gt;"",$C106&lt;$D106*Parametros!$B$28),"BAJO % MUESTREO",IF($J106&lt;Parametros!$B$31,"POCOS EVALUADORES","VALIDA"))))</f>
        <v/>
      </c>
    </row>
    <row r="107" customFormat="false" ht="15" hidden="false" customHeight="true" outlineLevel="0" collapsed="false">
      <c r="A107" s="72"/>
      <c r="B107" s="13" t="str">
        <f aca="false">IFERROR(INDEX('Registro de Fichas'!$E$7:$E$1200,MATCH($A107,'Registro de Fichas'!$D$7:$D$1200,0)),"")</f>
        <v/>
      </c>
      <c r="C107" s="26" t="n">
        <f aca="false">COUNTIF('Registro de Fichas'!$D$7:$D$1200,$A107)</f>
        <v>0</v>
      </c>
      <c r="D107" s="72"/>
      <c r="E107" s="73" t="str">
        <f aca="false">IFERROR(AVERAGEIF('Registro de Fichas'!$D$7:$D$1200,$A107,'Registro de Fichas'!$G$7:$G$1200),"")</f>
        <v/>
      </c>
      <c r="F107" s="73" t="str">
        <f aca="false">IFERROR(AVERAGEIF('Registro de Fichas'!$D$7:$D$1200,$A107,'Registro de Fichas'!$H$7:$H$1200),"")</f>
        <v/>
      </c>
      <c r="G107" s="73" t="str">
        <f aca="false">IFERROR(AVERAGEIF('Registro de Fichas'!$D$7:$D$1200,$A107,'Registro de Fichas'!$I$7:$I$1200),"")</f>
        <v/>
      </c>
      <c r="H107" s="73" t="str">
        <f aca="false">IFERROR(AVERAGEIF('Registro de Fichas'!$D$7:$D$1200,$A107,'Registro de Fichas'!$J$7:$J$1200),"")</f>
        <v/>
      </c>
      <c r="I107" s="38" t="str">
        <f aca="false">IF($C107=0,"",IF($C107&gt;=Parametros!$B$27,"OK","FALTAN "&amp;(Parametros!$B$27-$C107)))</f>
        <v/>
      </c>
      <c r="J107" s="38" t="str">
        <f aca="false">IF($C107=0,"",SUMIF('Registro de Fichas'!$D$7:$D$1200,$A107,'Registro de Fichas'!$M$7:$M$1200))</f>
        <v/>
      </c>
      <c r="K107" s="26" t="n">
        <f aca="false">COUNTIFS('Registro de Fichas'!$D$7:$D$1200,$A107,'Registro de Fichas'!$K$7:$K$1200,"Contenedores")</f>
        <v>0</v>
      </c>
      <c r="L107" s="26" t="n">
        <f aca="false">COUNTIFS('Registro de Fichas'!$D$7:$D$1200,$A107,'Registro de Fichas'!$K$7:$K$1200,"Granel solido")</f>
        <v>0</v>
      </c>
      <c r="M107" s="26" t="n">
        <f aca="false">COUNTIFS('Registro de Fichas'!$D$7:$D$1200,$A107,'Registro de Fichas'!$K$7:$K$1200,"Carga fraccionada")</f>
        <v>0</v>
      </c>
      <c r="N107" s="26" t="n">
        <f aca="false">COUNTIFS('Registro de Fichas'!$D$7:$D$1200,$A107,'Registro de Fichas'!$K$7:$K$1200,"Big bags")</f>
        <v>0</v>
      </c>
      <c r="O107" s="26" t="n">
        <f aca="false">COUNTIFS('Registro de Fichas'!$D$7:$D$1200,$A107,'Registro de Fichas'!$L$7:$L$1200,"Si")</f>
        <v>0</v>
      </c>
      <c r="P107" s="23" t="str">
        <f aca="false">IF($C107=0,"",IF($C107&lt;Parametros!$B$27,"EVIDENCIA INSUFICIENTE",IF(AND($D107&lt;&gt;"",$C107&lt;$D107*Parametros!$B$28),"BAJO % MUESTREO",IF($J107&lt;Parametros!$B$31,"POCOS EVALUADORES","VALIDA"))))</f>
        <v/>
      </c>
    </row>
    <row r="108" customFormat="false" ht="15" hidden="false" customHeight="true" outlineLevel="0" collapsed="false">
      <c r="A108" s="72"/>
      <c r="B108" s="16" t="str">
        <f aca="false">IFERROR(INDEX('Registro de Fichas'!$E$7:$E$1200,MATCH($A108,'Registro de Fichas'!$D$7:$D$1200,0)),"")</f>
        <v/>
      </c>
      <c r="C108" s="74" t="n">
        <f aca="false">COUNTIF('Registro de Fichas'!$D$7:$D$1200,$A108)</f>
        <v>0</v>
      </c>
      <c r="D108" s="72"/>
      <c r="E108" s="73" t="str">
        <f aca="false">IFERROR(AVERAGEIF('Registro de Fichas'!$D$7:$D$1200,$A108,'Registro de Fichas'!$G$7:$G$1200),"")</f>
        <v/>
      </c>
      <c r="F108" s="73" t="str">
        <f aca="false">IFERROR(AVERAGEIF('Registro de Fichas'!$D$7:$D$1200,$A108,'Registro de Fichas'!$H$7:$H$1200),"")</f>
        <v/>
      </c>
      <c r="G108" s="73" t="str">
        <f aca="false">IFERROR(AVERAGEIF('Registro de Fichas'!$D$7:$D$1200,$A108,'Registro de Fichas'!$I$7:$I$1200),"")</f>
        <v/>
      </c>
      <c r="H108" s="73" t="str">
        <f aca="false">IFERROR(AVERAGEIF('Registro de Fichas'!$D$7:$D$1200,$A108,'Registro de Fichas'!$J$7:$J$1200),"")</f>
        <v/>
      </c>
      <c r="I108" s="56" t="str">
        <f aca="false">IF($C108=0,"",IF($C108&gt;=Parametros!$B$27,"OK","FALTAN "&amp;(Parametros!$B$27-$C108)))</f>
        <v/>
      </c>
      <c r="J108" s="56" t="str">
        <f aca="false">IF($C108=0,"",SUMIF('Registro de Fichas'!$D$7:$D$1200,$A108,'Registro de Fichas'!$M$7:$M$1200))</f>
        <v/>
      </c>
      <c r="K108" s="74" t="n">
        <f aca="false">COUNTIFS('Registro de Fichas'!$D$7:$D$1200,$A108,'Registro de Fichas'!$K$7:$K$1200,"Contenedores")</f>
        <v>0</v>
      </c>
      <c r="L108" s="74" t="n">
        <f aca="false">COUNTIFS('Registro de Fichas'!$D$7:$D$1200,$A108,'Registro de Fichas'!$K$7:$K$1200,"Granel solido")</f>
        <v>0</v>
      </c>
      <c r="M108" s="74" t="n">
        <f aca="false">COUNTIFS('Registro de Fichas'!$D$7:$D$1200,$A108,'Registro de Fichas'!$K$7:$K$1200,"Carga fraccionada")</f>
        <v>0</v>
      </c>
      <c r="N108" s="74" t="n">
        <f aca="false">COUNTIFS('Registro de Fichas'!$D$7:$D$1200,$A108,'Registro de Fichas'!$K$7:$K$1200,"Big bags")</f>
        <v>0</v>
      </c>
      <c r="O108" s="74" t="n">
        <f aca="false">COUNTIFS('Registro de Fichas'!$D$7:$D$1200,$A108,'Registro de Fichas'!$L$7:$L$1200,"Si")</f>
        <v>0</v>
      </c>
      <c r="P108" s="75" t="str">
        <f aca="false">IF($C108=0,"",IF($C108&lt;Parametros!$B$27,"EVIDENCIA INSUFICIENTE",IF(AND($D108&lt;&gt;"",$C108&lt;$D108*Parametros!$B$28),"BAJO % MUESTREO",IF($J108&lt;Parametros!$B$31,"POCOS EVALUADORES","VALIDA"))))</f>
        <v/>
      </c>
    </row>
    <row r="109" customFormat="false" ht="15" hidden="false" customHeight="true" outlineLevel="0" collapsed="false">
      <c r="A109" s="72"/>
      <c r="B109" s="13" t="str">
        <f aca="false">IFERROR(INDEX('Registro de Fichas'!$E$7:$E$1200,MATCH($A109,'Registro de Fichas'!$D$7:$D$1200,0)),"")</f>
        <v/>
      </c>
      <c r="C109" s="26" t="n">
        <f aca="false">COUNTIF('Registro de Fichas'!$D$7:$D$1200,$A109)</f>
        <v>0</v>
      </c>
      <c r="D109" s="72"/>
      <c r="E109" s="73" t="str">
        <f aca="false">IFERROR(AVERAGEIF('Registro de Fichas'!$D$7:$D$1200,$A109,'Registro de Fichas'!$G$7:$G$1200),"")</f>
        <v/>
      </c>
      <c r="F109" s="73" t="str">
        <f aca="false">IFERROR(AVERAGEIF('Registro de Fichas'!$D$7:$D$1200,$A109,'Registro de Fichas'!$H$7:$H$1200),"")</f>
        <v/>
      </c>
      <c r="G109" s="73" t="str">
        <f aca="false">IFERROR(AVERAGEIF('Registro de Fichas'!$D$7:$D$1200,$A109,'Registro de Fichas'!$I$7:$I$1200),"")</f>
        <v/>
      </c>
      <c r="H109" s="73" t="str">
        <f aca="false">IFERROR(AVERAGEIF('Registro de Fichas'!$D$7:$D$1200,$A109,'Registro de Fichas'!$J$7:$J$1200),"")</f>
        <v/>
      </c>
      <c r="I109" s="38" t="str">
        <f aca="false">IF($C109=0,"",IF($C109&gt;=Parametros!$B$27,"OK","FALTAN "&amp;(Parametros!$B$27-$C109)))</f>
        <v/>
      </c>
      <c r="J109" s="38" t="str">
        <f aca="false">IF($C109=0,"",SUMIF('Registro de Fichas'!$D$7:$D$1200,$A109,'Registro de Fichas'!$M$7:$M$1200))</f>
        <v/>
      </c>
      <c r="K109" s="26" t="n">
        <f aca="false">COUNTIFS('Registro de Fichas'!$D$7:$D$1200,$A109,'Registro de Fichas'!$K$7:$K$1200,"Contenedores")</f>
        <v>0</v>
      </c>
      <c r="L109" s="26" t="n">
        <f aca="false">COUNTIFS('Registro de Fichas'!$D$7:$D$1200,$A109,'Registro de Fichas'!$K$7:$K$1200,"Granel solido")</f>
        <v>0</v>
      </c>
      <c r="M109" s="26" t="n">
        <f aca="false">COUNTIFS('Registro de Fichas'!$D$7:$D$1200,$A109,'Registro de Fichas'!$K$7:$K$1200,"Carga fraccionada")</f>
        <v>0</v>
      </c>
      <c r="N109" s="26" t="n">
        <f aca="false">COUNTIFS('Registro de Fichas'!$D$7:$D$1200,$A109,'Registro de Fichas'!$K$7:$K$1200,"Big bags")</f>
        <v>0</v>
      </c>
      <c r="O109" s="26" t="n">
        <f aca="false">COUNTIFS('Registro de Fichas'!$D$7:$D$1200,$A109,'Registro de Fichas'!$L$7:$L$1200,"Si")</f>
        <v>0</v>
      </c>
      <c r="P109" s="23" t="str">
        <f aca="false">IF($C109=0,"",IF($C109&lt;Parametros!$B$27,"EVIDENCIA INSUFICIENTE",IF(AND($D109&lt;&gt;"",$C109&lt;$D109*Parametros!$B$28),"BAJO % MUESTREO",IF($J109&lt;Parametros!$B$31,"POCOS EVALUADORES","VALIDA"))))</f>
        <v/>
      </c>
    </row>
    <row r="110" customFormat="false" ht="15" hidden="false" customHeight="true" outlineLevel="0" collapsed="false">
      <c r="A110" s="72"/>
      <c r="B110" s="16" t="str">
        <f aca="false">IFERROR(INDEX('Registro de Fichas'!$E$7:$E$1200,MATCH($A110,'Registro de Fichas'!$D$7:$D$1200,0)),"")</f>
        <v/>
      </c>
      <c r="C110" s="74" t="n">
        <f aca="false">COUNTIF('Registro de Fichas'!$D$7:$D$1200,$A110)</f>
        <v>0</v>
      </c>
      <c r="D110" s="72"/>
      <c r="E110" s="73" t="str">
        <f aca="false">IFERROR(AVERAGEIF('Registro de Fichas'!$D$7:$D$1200,$A110,'Registro de Fichas'!$G$7:$G$1200),"")</f>
        <v/>
      </c>
      <c r="F110" s="73" t="str">
        <f aca="false">IFERROR(AVERAGEIF('Registro de Fichas'!$D$7:$D$1200,$A110,'Registro de Fichas'!$H$7:$H$1200),"")</f>
        <v/>
      </c>
      <c r="G110" s="73" t="str">
        <f aca="false">IFERROR(AVERAGEIF('Registro de Fichas'!$D$7:$D$1200,$A110,'Registro de Fichas'!$I$7:$I$1200),"")</f>
        <v/>
      </c>
      <c r="H110" s="73" t="str">
        <f aca="false">IFERROR(AVERAGEIF('Registro de Fichas'!$D$7:$D$1200,$A110,'Registro de Fichas'!$J$7:$J$1200),"")</f>
        <v/>
      </c>
      <c r="I110" s="56" t="str">
        <f aca="false">IF($C110=0,"",IF($C110&gt;=Parametros!$B$27,"OK","FALTAN "&amp;(Parametros!$B$27-$C110)))</f>
        <v/>
      </c>
      <c r="J110" s="56" t="str">
        <f aca="false">IF($C110=0,"",SUMIF('Registro de Fichas'!$D$7:$D$1200,$A110,'Registro de Fichas'!$M$7:$M$1200))</f>
        <v/>
      </c>
      <c r="K110" s="74" t="n">
        <f aca="false">COUNTIFS('Registro de Fichas'!$D$7:$D$1200,$A110,'Registro de Fichas'!$K$7:$K$1200,"Contenedores")</f>
        <v>0</v>
      </c>
      <c r="L110" s="74" t="n">
        <f aca="false">COUNTIFS('Registro de Fichas'!$D$7:$D$1200,$A110,'Registro de Fichas'!$K$7:$K$1200,"Granel solido")</f>
        <v>0</v>
      </c>
      <c r="M110" s="74" t="n">
        <f aca="false">COUNTIFS('Registro de Fichas'!$D$7:$D$1200,$A110,'Registro de Fichas'!$K$7:$K$1200,"Carga fraccionada")</f>
        <v>0</v>
      </c>
      <c r="N110" s="74" t="n">
        <f aca="false">COUNTIFS('Registro de Fichas'!$D$7:$D$1200,$A110,'Registro de Fichas'!$K$7:$K$1200,"Big bags")</f>
        <v>0</v>
      </c>
      <c r="O110" s="74" t="n">
        <f aca="false">COUNTIFS('Registro de Fichas'!$D$7:$D$1200,$A110,'Registro de Fichas'!$L$7:$L$1200,"Si")</f>
        <v>0</v>
      </c>
      <c r="P110" s="75" t="str">
        <f aca="false">IF($C110=0,"",IF($C110&lt;Parametros!$B$27,"EVIDENCIA INSUFICIENTE",IF(AND($D110&lt;&gt;"",$C110&lt;$D110*Parametros!$B$28),"BAJO % MUESTREO",IF($J110&lt;Parametros!$B$31,"POCOS EVALUADORES","VALIDA"))))</f>
        <v/>
      </c>
    </row>
    <row r="111" customFormat="false" ht="15" hidden="false" customHeight="true" outlineLevel="0" collapsed="false">
      <c r="A111" s="72"/>
      <c r="B111" s="13" t="str">
        <f aca="false">IFERROR(INDEX('Registro de Fichas'!$E$7:$E$1200,MATCH($A111,'Registro de Fichas'!$D$7:$D$1200,0)),"")</f>
        <v/>
      </c>
      <c r="C111" s="26" t="n">
        <f aca="false">COUNTIF('Registro de Fichas'!$D$7:$D$1200,$A111)</f>
        <v>0</v>
      </c>
      <c r="D111" s="72"/>
      <c r="E111" s="73" t="str">
        <f aca="false">IFERROR(AVERAGEIF('Registro de Fichas'!$D$7:$D$1200,$A111,'Registro de Fichas'!$G$7:$G$1200),"")</f>
        <v/>
      </c>
      <c r="F111" s="73" t="str">
        <f aca="false">IFERROR(AVERAGEIF('Registro de Fichas'!$D$7:$D$1200,$A111,'Registro de Fichas'!$H$7:$H$1200),"")</f>
        <v/>
      </c>
      <c r="G111" s="73" t="str">
        <f aca="false">IFERROR(AVERAGEIF('Registro de Fichas'!$D$7:$D$1200,$A111,'Registro de Fichas'!$I$7:$I$1200),"")</f>
        <v/>
      </c>
      <c r="H111" s="73" t="str">
        <f aca="false">IFERROR(AVERAGEIF('Registro de Fichas'!$D$7:$D$1200,$A111,'Registro de Fichas'!$J$7:$J$1200),"")</f>
        <v/>
      </c>
      <c r="I111" s="38" t="str">
        <f aca="false">IF($C111=0,"",IF($C111&gt;=Parametros!$B$27,"OK","FALTAN "&amp;(Parametros!$B$27-$C111)))</f>
        <v/>
      </c>
      <c r="J111" s="38" t="str">
        <f aca="false">IF($C111=0,"",SUMIF('Registro de Fichas'!$D$7:$D$1200,$A111,'Registro de Fichas'!$M$7:$M$1200))</f>
        <v/>
      </c>
      <c r="K111" s="26" t="n">
        <f aca="false">COUNTIFS('Registro de Fichas'!$D$7:$D$1200,$A111,'Registro de Fichas'!$K$7:$K$1200,"Contenedores")</f>
        <v>0</v>
      </c>
      <c r="L111" s="26" t="n">
        <f aca="false">COUNTIFS('Registro de Fichas'!$D$7:$D$1200,$A111,'Registro de Fichas'!$K$7:$K$1200,"Granel solido")</f>
        <v>0</v>
      </c>
      <c r="M111" s="26" t="n">
        <f aca="false">COUNTIFS('Registro de Fichas'!$D$7:$D$1200,$A111,'Registro de Fichas'!$K$7:$K$1200,"Carga fraccionada")</f>
        <v>0</v>
      </c>
      <c r="N111" s="26" t="n">
        <f aca="false">COUNTIFS('Registro de Fichas'!$D$7:$D$1200,$A111,'Registro de Fichas'!$K$7:$K$1200,"Big bags")</f>
        <v>0</v>
      </c>
      <c r="O111" s="26" t="n">
        <f aca="false">COUNTIFS('Registro de Fichas'!$D$7:$D$1200,$A111,'Registro de Fichas'!$L$7:$L$1200,"Si")</f>
        <v>0</v>
      </c>
      <c r="P111" s="23" t="str">
        <f aca="false">IF($C111=0,"",IF($C111&lt;Parametros!$B$27,"EVIDENCIA INSUFICIENTE",IF(AND($D111&lt;&gt;"",$C111&lt;$D111*Parametros!$B$28),"BAJO % MUESTREO",IF($J111&lt;Parametros!$B$31,"POCOS EVALUADORES","VALIDA"))))</f>
        <v/>
      </c>
    </row>
    <row r="112" customFormat="false" ht="15" hidden="false" customHeight="true" outlineLevel="0" collapsed="false">
      <c r="A112" s="72"/>
      <c r="B112" s="16" t="str">
        <f aca="false">IFERROR(INDEX('Registro de Fichas'!$E$7:$E$1200,MATCH($A112,'Registro de Fichas'!$D$7:$D$1200,0)),"")</f>
        <v/>
      </c>
      <c r="C112" s="74" t="n">
        <f aca="false">COUNTIF('Registro de Fichas'!$D$7:$D$1200,$A112)</f>
        <v>0</v>
      </c>
      <c r="D112" s="72"/>
      <c r="E112" s="73" t="str">
        <f aca="false">IFERROR(AVERAGEIF('Registro de Fichas'!$D$7:$D$1200,$A112,'Registro de Fichas'!$G$7:$G$1200),"")</f>
        <v/>
      </c>
      <c r="F112" s="73" t="str">
        <f aca="false">IFERROR(AVERAGEIF('Registro de Fichas'!$D$7:$D$1200,$A112,'Registro de Fichas'!$H$7:$H$1200),"")</f>
        <v/>
      </c>
      <c r="G112" s="73" t="str">
        <f aca="false">IFERROR(AVERAGEIF('Registro de Fichas'!$D$7:$D$1200,$A112,'Registro de Fichas'!$I$7:$I$1200),"")</f>
        <v/>
      </c>
      <c r="H112" s="73" t="str">
        <f aca="false">IFERROR(AVERAGEIF('Registro de Fichas'!$D$7:$D$1200,$A112,'Registro de Fichas'!$J$7:$J$1200),"")</f>
        <v/>
      </c>
      <c r="I112" s="56" t="str">
        <f aca="false">IF($C112=0,"",IF($C112&gt;=Parametros!$B$27,"OK","FALTAN "&amp;(Parametros!$B$27-$C112)))</f>
        <v/>
      </c>
      <c r="J112" s="56" t="str">
        <f aca="false">IF($C112=0,"",SUMIF('Registro de Fichas'!$D$7:$D$1200,$A112,'Registro de Fichas'!$M$7:$M$1200))</f>
        <v/>
      </c>
      <c r="K112" s="74" t="n">
        <f aca="false">COUNTIFS('Registro de Fichas'!$D$7:$D$1200,$A112,'Registro de Fichas'!$K$7:$K$1200,"Contenedores")</f>
        <v>0</v>
      </c>
      <c r="L112" s="74" t="n">
        <f aca="false">COUNTIFS('Registro de Fichas'!$D$7:$D$1200,$A112,'Registro de Fichas'!$K$7:$K$1200,"Granel solido")</f>
        <v>0</v>
      </c>
      <c r="M112" s="74" t="n">
        <f aca="false">COUNTIFS('Registro de Fichas'!$D$7:$D$1200,$A112,'Registro de Fichas'!$K$7:$K$1200,"Carga fraccionada")</f>
        <v>0</v>
      </c>
      <c r="N112" s="74" t="n">
        <f aca="false">COUNTIFS('Registro de Fichas'!$D$7:$D$1200,$A112,'Registro de Fichas'!$K$7:$K$1200,"Big bags")</f>
        <v>0</v>
      </c>
      <c r="O112" s="74" t="n">
        <f aca="false">COUNTIFS('Registro de Fichas'!$D$7:$D$1200,$A112,'Registro de Fichas'!$L$7:$L$1200,"Si")</f>
        <v>0</v>
      </c>
      <c r="P112" s="75" t="str">
        <f aca="false">IF($C112=0,"",IF($C112&lt;Parametros!$B$27,"EVIDENCIA INSUFICIENTE",IF(AND($D112&lt;&gt;"",$C112&lt;$D112*Parametros!$B$28),"BAJO % MUESTREO",IF($J112&lt;Parametros!$B$31,"POCOS EVALUADORES","VALIDA"))))</f>
        <v/>
      </c>
    </row>
    <row r="113" customFormat="false" ht="15" hidden="false" customHeight="true" outlineLevel="0" collapsed="false">
      <c r="A113" s="72"/>
      <c r="B113" s="13" t="str">
        <f aca="false">IFERROR(INDEX('Registro de Fichas'!$E$7:$E$1200,MATCH($A113,'Registro de Fichas'!$D$7:$D$1200,0)),"")</f>
        <v/>
      </c>
      <c r="C113" s="26" t="n">
        <f aca="false">COUNTIF('Registro de Fichas'!$D$7:$D$1200,$A113)</f>
        <v>0</v>
      </c>
      <c r="D113" s="72"/>
      <c r="E113" s="73" t="str">
        <f aca="false">IFERROR(AVERAGEIF('Registro de Fichas'!$D$7:$D$1200,$A113,'Registro de Fichas'!$G$7:$G$1200),"")</f>
        <v/>
      </c>
      <c r="F113" s="73" t="str">
        <f aca="false">IFERROR(AVERAGEIF('Registro de Fichas'!$D$7:$D$1200,$A113,'Registro de Fichas'!$H$7:$H$1200),"")</f>
        <v/>
      </c>
      <c r="G113" s="73" t="str">
        <f aca="false">IFERROR(AVERAGEIF('Registro de Fichas'!$D$7:$D$1200,$A113,'Registro de Fichas'!$I$7:$I$1200),"")</f>
        <v/>
      </c>
      <c r="H113" s="73" t="str">
        <f aca="false">IFERROR(AVERAGEIF('Registro de Fichas'!$D$7:$D$1200,$A113,'Registro de Fichas'!$J$7:$J$1200),"")</f>
        <v/>
      </c>
      <c r="I113" s="38" t="str">
        <f aca="false">IF($C113=0,"",IF($C113&gt;=Parametros!$B$27,"OK","FALTAN "&amp;(Parametros!$B$27-$C113)))</f>
        <v/>
      </c>
      <c r="J113" s="38" t="str">
        <f aca="false">IF($C113=0,"",SUMIF('Registro de Fichas'!$D$7:$D$1200,$A113,'Registro de Fichas'!$M$7:$M$1200))</f>
        <v/>
      </c>
      <c r="K113" s="26" t="n">
        <f aca="false">COUNTIFS('Registro de Fichas'!$D$7:$D$1200,$A113,'Registro de Fichas'!$K$7:$K$1200,"Contenedores")</f>
        <v>0</v>
      </c>
      <c r="L113" s="26" t="n">
        <f aca="false">COUNTIFS('Registro de Fichas'!$D$7:$D$1200,$A113,'Registro de Fichas'!$K$7:$K$1200,"Granel solido")</f>
        <v>0</v>
      </c>
      <c r="M113" s="26" t="n">
        <f aca="false">COUNTIFS('Registro de Fichas'!$D$7:$D$1200,$A113,'Registro de Fichas'!$K$7:$K$1200,"Carga fraccionada")</f>
        <v>0</v>
      </c>
      <c r="N113" s="26" t="n">
        <f aca="false">COUNTIFS('Registro de Fichas'!$D$7:$D$1200,$A113,'Registro de Fichas'!$K$7:$K$1200,"Big bags")</f>
        <v>0</v>
      </c>
      <c r="O113" s="26" t="n">
        <f aca="false">COUNTIFS('Registro de Fichas'!$D$7:$D$1200,$A113,'Registro de Fichas'!$L$7:$L$1200,"Si")</f>
        <v>0</v>
      </c>
      <c r="P113" s="23" t="str">
        <f aca="false">IF($C113=0,"",IF($C113&lt;Parametros!$B$27,"EVIDENCIA INSUFICIENTE",IF(AND($D113&lt;&gt;"",$C113&lt;$D113*Parametros!$B$28),"BAJO % MUESTREO",IF($J113&lt;Parametros!$B$31,"POCOS EVALUADORES","VALIDA"))))</f>
        <v/>
      </c>
    </row>
    <row r="114" customFormat="false" ht="15" hidden="false" customHeight="true" outlineLevel="0" collapsed="false">
      <c r="A114" s="72"/>
      <c r="B114" s="16" t="str">
        <f aca="false">IFERROR(INDEX('Registro de Fichas'!$E$7:$E$1200,MATCH($A114,'Registro de Fichas'!$D$7:$D$1200,0)),"")</f>
        <v/>
      </c>
      <c r="C114" s="74" t="n">
        <f aca="false">COUNTIF('Registro de Fichas'!$D$7:$D$1200,$A114)</f>
        <v>0</v>
      </c>
      <c r="D114" s="72"/>
      <c r="E114" s="73" t="str">
        <f aca="false">IFERROR(AVERAGEIF('Registro de Fichas'!$D$7:$D$1200,$A114,'Registro de Fichas'!$G$7:$G$1200),"")</f>
        <v/>
      </c>
      <c r="F114" s="73" t="str">
        <f aca="false">IFERROR(AVERAGEIF('Registro de Fichas'!$D$7:$D$1200,$A114,'Registro de Fichas'!$H$7:$H$1200),"")</f>
        <v/>
      </c>
      <c r="G114" s="73" t="str">
        <f aca="false">IFERROR(AVERAGEIF('Registro de Fichas'!$D$7:$D$1200,$A114,'Registro de Fichas'!$I$7:$I$1200),"")</f>
        <v/>
      </c>
      <c r="H114" s="73" t="str">
        <f aca="false">IFERROR(AVERAGEIF('Registro de Fichas'!$D$7:$D$1200,$A114,'Registro de Fichas'!$J$7:$J$1200),"")</f>
        <v/>
      </c>
      <c r="I114" s="56" t="str">
        <f aca="false">IF($C114=0,"",IF($C114&gt;=Parametros!$B$27,"OK","FALTAN "&amp;(Parametros!$B$27-$C114)))</f>
        <v/>
      </c>
      <c r="J114" s="56" t="str">
        <f aca="false">IF($C114=0,"",SUMIF('Registro de Fichas'!$D$7:$D$1200,$A114,'Registro de Fichas'!$M$7:$M$1200))</f>
        <v/>
      </c>
      <c r="K114" s="74" t="n">
        <f aca="false">COUNTIFS('Registro de Fichas'!$D$7:$D$1200,$A114,'Registro de Fichas'!$K$7:$K$1200,"Contenedores")</f>
        <v>0</v>
      </c>
      <c r="L114" s="74" t="n">
        <f aca="false">COUNTIFS('Registro de Fichas'!$D$7:$D$1200,$A114,'Registro de Fichas'!$K$7:$K$1200,"Granel solido")</f>
        <v>0</v>
      </c>
      <c r="M114" s="74" t="n">
        <f aca="false">COUNTIFS('Registro de Fichas'!$D$7:$D$1200,$A114,'Registro de Fichas'!$K$7:$K$1200,"Carga fraccionada")</f>
        <v>0</v>
      </c>
      <c r="N114" s="74" t="n">
        <f aca="false">COUNTIFS('Registro de Fichas'!$D$7:$D$1200,$A114,'Registro de Fichas'!$K$7:$K$1200,"Big bags")</f>
        <v>0</v>
      </c>
      <c r="O114" s="74" t="n">
        <f aca="false">COUNTIFS('Registro de Fichas'!$D$7:$D$1200,$A114,'Registro de Fichas'!$L$7:$L$1200,"Si")</f>
        <v>0</v>
      </c>
      <c r="P114" s="75" t="str">
        <f aca="false">IF($C114=0,"",IF($C114&lt;Parametros!$B$27,"EVIDENCIA INSUFICIENTE",IF(AND($D114&lt;&gt;"",$C114&lt;$D114*Parametros!$B$28),"BAJO % MUESTREO",IF($J114&lt;Parametros!$B$31,"POCOS EVALUADORES","VALIDA"))))</f>
        <v/>
      </c>
    </row>
    <row r="115" customFormat="false" ht="15" hidden="false" customHeight="true" outlineLevel="0" collapsed="false">
      <c r="A115" s="72"/>
      <c r="B115" s="13" t="str">
        <f aca="false">IFERROR(INDEX('Registro de Fichas'!$E$7:$E$1200,MATCH($A115,'Registro de Fichas'!$D$7:$D$1200,0)),"")</f>
        <v/>
      </c>
      <c r="C115" s="26" t="n">
        <f aca="false">COUNTIF('Registro de Fichas'!$D$7:$D$1200,$A115)</f>
        <v>0</v>
      </c>
      <c r="D115" s="72"/>
      <c r="E115" s="73" t="str">
        <f aca="false">IFERROR(AVERAGEIF('Registro de Fichas'!$D$7:$D$1200,$A115,'Registro de Fichas'!$G$7:$G$1200),"")</f>
        <v/>
      </c>
      <c r="F115" s="73" t="str">
        <f aca="false">IFERROR(AVERAGEIF('Registro de Fichas'!$D$7:$D$1200,$A115,'Registro de Fichas'!$H$7:$H$1200),"")</f>
        <v/>
      </c>
      <c r="G115" s="73" t="str">
        <f aca="false">IFERROR(AVERAGEIF('Registro de Fichas'!$D$7:$D$1200,$A115,'Registro de Fichas'!$I$7:$I$1200),"")</f>
        <v/>
      </c>
      <c r="H115" s="73" t="str">
        <f aca="false">IFERROR(AVERAGEIF('Registro de Fichas'!$D$7:$D$1200,$A115,'Registro de Fichas'!$J$7:$J$1200),"")</f>
        <v/>
      </c>
      <c r="I115" s="38" t="str">
        <f aca="false">IF($C115=0,"",IF($C115&gt;=Parametros!$B$27,"OK","FALTAN "&amp;(Parametros!$B$27-$C115)))</f>
        <v/>
      </c>
      <c r="J115" s="38" t="str">
        <f aca="false">IF($C115=0,"",SUMIF('Registro de Fichas'!$D$7:$D$1200,$A115,'Registro de Fichas'!$M$7:$M$1200))</f>
        <v/>
      </c>
      <c r="K115" s="26" t="n">
        <f aca="false">COUNTIFS('Registro de Fichas'!$D$7:$D$1200,$A115,'Registro de Fichas'!$K$7:$K$1200,"Contenedores")</f>
        <v>0</v>
      </c>
      <c r="L115" s="26" t="n">
        <f aca="false">COUNTIFS('Registro de Fichas'!$D$7:$D$1200,$A115,'Registro de Fichas'!$K$7:$K$1200,"Granel solido")</f>
        <v>0</v>
      </c>
      <c r="M115" s="26" t="n">
        <f aca="false">COUNTIFS('Registro de Fichas'!$D$7:$D$1200,$A115,'Registro de Fichas'!$K$7:$K$1200,"Carga fraccionada")</f>
        <v>0</v>
      </c>
      <c r="N115" s="26" t="n">
        <f aca="false">COUNTIFS('Registro de Fichas'!$D$7:$D$1200,$A115,'Registro de Fichas'!$K$7:$K$1200,"Big bags")</f>
        <v>0</v>
      </c>
      <c r="O115" s="26" t="n">
        <f aca="false">COUNTIFS('Registro de Fichas'!$D$7:$D$1200,$A115,'Registro de Fichas'!$L$7:$L$1200,"Si")</f>
        <v>0</v>
      </c>
      <c r="P115" s="23" t="str">
        <f aca="false">IF($C115=0,"",IF($C115&lt;Parametros!$B$27,"EVIDENCIA INSUFICIENTE",IF(AND($D115&lt;&gt;"",$C115&lt;$D115*Parametros!$B$28),"BAJO % MUESTREO",IF($J115&lt;Parametros!$B$31,"POCOS EVALUADORES","VALIDA"))))</f>
        <v/>
      </c>
    </row>
    <row r="116" customFormat="false" ht="15" hidden="false" customHeight="true" outlineLevel="0" collapsed="false">
      <c r="A116" s="72"/>
      <c r="B116" s="16" t="str">
        <f aca="false">IFERROR(INDEX('Registro de Fichas'!$E$7:$E$1200,MATCH($A116,'Registro de Fichas'!$D$7:$D$1200,0)),"")</f>
        <v/>
      </c>
      <c r="C116" s="74" t="n">
        <f aca="false">COUNTIF('Registro de Fichas'!$D$7:$D$1200,$A116)</f>
        <v>0</v>
      </c>
      <c r="D116" s="72"/>
      <c r="E116" s="73" t="str">
        <f aca="false">IFERROR(AVERAGEIF('Registro de Fichas'!$D$7:$D$1200,$A116,'Registro de Fichas'!$G$7:$G$1200),"")</f>
        <v/>
      </c>
      <c r="F116" s="73" t="str">
        <f aca="false">IFERROR(AVERAGEIF('Registro de Fichas'!$D$7:$D$1200,$A116,'Registro de Fichas'!$H$7:$H$1200),"")</f>
        <v/>
      </c>
      <c r="G116" s="73" t="str">
        <f aca="false">IFERROR(AVERAGEIF('Registro de Fichas'!$D$7:$D$1200,$A116,'Registro de Fichas'!$I$7:$I$1200),"")</f>
        <v/>
      </c>
      <c r="H116" s="73" t="str">
        <f aca="false">IFERROR(AVERAGEIF('Registro de Fichas'!$D$7:$D$1200,$A116,'Registro de Fichas'!$J$7:$J$1200),"")</f>
        <v/>
      </c>
      <c r="I116" s="56" t="str">
        <f aca="false">IF($C116=0,"",IF($C116&gt;=Parametros!$B$27,"OK","FALTAN "&amp;(Parametros!$B$27-$C116)))</f>
        <v/>
      </c>
      <c r="J116" s="56" t="str">
        <f aca="false">IF($C116=0,"",SUMIF('Registro de Fichas'!$D$7:$D$1200,$A116,'Registro de Fichas'!$M$7:$M$1200))</f>
        <v/>
      </c>
      <c r="K116" s="74" t="n">
        <f aca="false">COUNTIFS('Registro de Fichas'!$D$7:$D$1200,$A116,'Registro de Fichas'!$K$7:$K$1200,"Contenedores")</f>
        <v>0</v>
      </c>
      <c r="L116" s="74" t="n">
        <f aca="false">COUNTIFS('Registro de Fichas'!$D$7:$D$1200,$A116,'Registro de Fichas'!$K$7:$K$1200,"Granel solido")</f>
        <v>0</v>
      </c>
      <c r="M116" s="74" t="n">
        <f aca="false">COUNTIFS('Registro de Fichas'!$D$7:$D$1200,$A116,'Registro de Fichas'!$K$7:$K$1200,"Carga fraccionada")</f>
        <v>0</v>
      </c>
      <c r="N116" s="74" t="n">
        <f aca="false">COUNTIFS('Registro de Fichas'!$D$7:$D$1200,$A116,'Registro de Fichas'!$K$7:$K$1200,"Big bags")</f>
        <v>0</v>
      </c>
      <c r="O116" s="74" t="n">
        <f aca="false">COUNTIFS('Registro de Fichas'!$D$7:$D$1200,$A116,'Registro de Fichas'!$L$7:$L$1200,"Si")</f>
        <v>0</v>
      </c>
      <c r="P116" s="75" t="str">
        <f aca="false">IF($C116=0,"",IF($C116&lt;Parametros!$B$27,"EVIDENCIA INSUFICIENTE",IF(AND($D116&lt;&gt;"",$C116&lt;$D116*Parametros!$B$28),"BAJO % MUESTREO",IF($J116&lt;Parametros!$B$31,"POCOS EVALUADORES","VALIDA"))))</f>
        <v/>
      </c>
    </row>
    <row r="117" customFormat="false" ht="15" hidden="false" customHeight="true" outlineLevel="0" collapsed="false">
      <c r="A117" s="72"/>
      <c r="B117" s="13" t="str">
        <f aca="false">IFERROR(INDEX('Registro de Fichas'!$E$7:$E$1200,MATCH($A117,'Registro de Fichas'!$D$7:$D$1200,0)),"")</f>
        <v/>
      </c>
      <c r="C117" s="26" t="n">
        <f aca="false">COUNTIF('Registro de Fichas'!$D$7:$D$1200,$A117)</f>
        <v>0</v>
      </c>
      <c r="D117" s="72"/>
      <c r="E117" s="73" t="str">
        <f aca="false">IFERROR(AVERAGEIF('Registro de Fichas'!$D$7:$D$1200,$A117,'Registro de Fichas'!$G$7:$G$1200),"")</f>
        <v/>
      </c>
      <c r="F117" s="73" t="str">
        <f aca="false">IFERROR(AVERAGEIF('Registro de Fichas'!$D$7:$D$1200,$A117,'Registro de Fichas'!$H$7:$H$1200),"")</f>
        <v/>
      </c>
      <c r="G117" s="73" t="str">
        <f aca="false">IFERROR(AVERAGEIF('Registro de Fichas'!$D$7:$D$1200,$A117,'Registro de Fichas'!$I$7:$I$1200),"")</f>
        <v/>
      </c>
      <c r="H117" s="73" t="str">
        <f aca="false">IFERROR(AVERAGEIF('Registro de Fichas'!$D$7:$D$1200,$A117,'Registro de Fichas'!$J$7:$J$1200),"")</f>
        <v/>
      </c>
      <c r="I117" s="38" t="str">
        <f aca="false">IF($C117=0,"",IF($C117&gt;=Parametros!$B$27,"OK","FALTAN "&amp;(Parametros!$B$27-$C117)))</f>
        <v/>
      </c>
      <c r="J117" s="38" t="str">
        <f aca="false">IF($C117=0,"",SUMIF('Registro de Fichas'!$D$7:$D$1200,$A117,'Registro de Fichas'!$M$7:$M$1200))</f>
        <v/>
      </c>
      <c r="K117" s="26" t="n">
        <f aca="false">COUNTIFS('Registro de Fichas'!$D$7:$D$1200,$A117,'Registro de Fichas'!$K$7:$K$1200,"Contenedores")</f>
        <v>0</v>
      </c>
      <c r="L117" s="26" t="n">
        <f aca="false">COUNTIFS('Registro de Fichas'!$D$7:$D$1200,$A117,'Registro de Fichas'!$K$7:$K$1200,"Granel solido")</f>
        <v>0</v>
      </c>
      <c r="M117" s="26" t="n">
        <f aca="false">COUNTIFS('Registro de Fichas'!$D$7:$D$1200,$A117,'Registro de Fichas'!$K$7:$K$1200,"Carga fraccionada")</f>
        <v>0</v>
      </c>
      <c r="N117" s="26" t="n">
        <f aca="false">COUNTIFS('Registro de Fichas'!$D$7:$D$1200,$A117,'Registro de Fichas'!$K$7:$K$1200,"Big bags")</f>
        <v>0</v>
      </c>
      <c r="O117" s="26" t="n">
        <f aca="false">COUNTIFS('Registro de Fichas'!$D$7:$D$1200,$A117,'Registro de Fichas'!$L$7:$L$1200,"Si")</f>
        <v>0</v>
      </c>
      <c r="P117" s="23" t="str">
        <f aca="false">IF($C117=0,"",IF($C117&lt;Parametros!$B$27,"EVIDENCIA INSUFICIENTE",IF(AND($D117&lt;&gt;"",$C117&lt;$D117*Parametros!$B$28),"BAJO % MUESTREO",IF($J117&lt;Parametros!$B$31,"POCOS EVALUADORES","VALIDA"))))</f>
        <v/>
      </c>
    </row>
    <row r="118" customFormat="false" ht="15" hidden="false" customHeight="true" outlineLevel="0" collapsed="false">
      <c r="A118" s="72"/>
      <c r="B118" s="16" t="str">
        <f aca="false">IFERROR(INDEX('Registro de Fichas'!$E$7:$E$1200,MATCH($A118,'Registro de Fichas'!$D$7:$D$1200,0)),"")</f>
        <v/>
      </c>
      <c r="C118" s="74" t="n">
        <f aca="false">COUNTIF('Registro de Fichas'!$D$7:$D$1200,$A118)</f>
        <v>0</v>
      </c>
      <c r="D118" s="72"/>
      <c r="E118" s="73" t="str">
        <f aca="false">IFERROR(AVERAGEIF('Registro de Fichas'!$D$7:$D$1200,$A118,'Registro de Fichas'!$G$7:$G$1200),"")</f>
        <v/>
      </c>
      <c r="F118" s="73" t="str">
        <f aca="false">IFERROR(AVERAGEIF('Registro de Fichas'!$D$7:$D$1200,$A118,'Registro de Fichas'!$H$7:$H$1200),"")</f>
        <v/>
      </c>
      <c r="G118" s="73" t="str">
        <f aca="false">IFERROR(AVERAGEIF('Registro de Fichas'!$D$7:$D$1200,$A118,'Registro de Fichas'!$I$7:$I$1200),"")</f>
        <v/>
      </c>
      <c r="H118" s="73" t="str">
        <f aca="false">IFERROR(AVERAGEIF('Registro de Fichas'!$D$7:$D$1200,$A118,'Registro de Fichas'!$J$7:$J$1200),"")</f>
        <v/>
      </c>
      <c r="I118" s="56" t="str">
        <f aca="false">IF($C118=0,"",IF($C118&gt;=Parametros!$B$27,"OK","FALTAN "&amp;(Parametros!$B$27-$C118)))</f>
        <v/>
      </c>
      <c r="J118" s="56" t="str">
        <f aca="false">IF($C118=0,"",SUMIF('Registro de Fichas'!$D$7:$D$1200,$A118,'Registro de Fichas'!$M$7:$M$1200))</f>
        <v/>
      </c>
      <c r="K118" s="74" t="n">
        <f aca="false">COUNTIFS('Registro de Fichas'!$D$7:$D$1200,$A118,'Registro de Fichas'!$K$7:$K$1200,"Contenedores")</f>
        <v>0</v>
      </c>
      <c r="L118" s="74" t="n">
        <f aca="false">COUNTIFS('Registro de Fichas'!$D$7:$D$1200,$A118,'Registro de Fichas'!$K$7:$K$1200,"Granel solido")</f>
        <v>0</v>
      </c>
      <c r="M118" s="74" t="n">
        <f aca="false">COUNTIFS('Registro de Fichas'!$D$7:$D$1200,$A118,'Registro de Fichas'!$K$7:$K$1200,"Carga fraccionada")</f>
        <v>0</v>
      </c>
      <c r="N118" s="74" t="n">
        <f aca="false">COUNTIFS('Registro de Fichas'!$D$7:$D$1200,$A118,'Registro de Fichas'!$K$7:$K$1200,"Big bags")</f>
        <v>0</v>
      </c>
      <c r="O118" s="74" t="n">
        <f aca="false">COUNTIFS('Registro de Fichas'!$D$7:$D$1200,$A118,'Registro de Fichas'!$L$7:$L$1200,"Si")</f>
        <v>0</v>
      </c>
      <c r="P118" s="75" t="str">
        <f aca="false">IF($C118=0,"",IF($C118&lt;Parametros!$B$27,"EVIDENCIA INSUFICIENTE",IF(AND($D118&lt;&gt;"",$C118&lt;$D118*Parametros!$B$28),"BAJO % MUESTREO",IF($J118&lt;Parametros!$B$31,"POCOS EVALUADORES","VALIDA"))))</f>
        <v/>
      </c>
    </row>
    <row r="119" customFormat="false" ht="15" hidden="false" customHeight="true" outlineLevel="0" collapsed="false">
      <c r="A119" s="72"/>
      <c r="B119" s="13" t="str">
        <f aca="false">IFERROR(INDEX('Registro de Fichas'!$E$7:$E$1200,MATCH($A119,'Registro de Fichas'!$D$7:$D$1200,0)),"")</f>
        <v/>
      </c>
      <c r="C119" s="26" t="n">
        <f aca="false">COUNTIF('Registro de Fichas'!$D$7:$D$1200,$A119)</f>
        <v>0</v>
      </c>
      <c r="D119" s="72"/>
      <c r="E119" s="73" t="str">
        <f aca="false">IFERROR(AVERAGEIF('Registro de Fichas'!$D$7:$D$1200,$A119,'Registro de Fichas'!$G$7:$G$1200),"")</f>
        <v/>
      </c>
      <c r="F119" s="73" t="str">
        <f aca="false">IFERROR(AVERAGEIF('Registro de Fichas'!$D$7:$D$1200,$A119,'Registro de Fichas'!$H$7:$H$1200),"")</f>
        <v/>
      </c>
      <c r="G119" s="73" t="str">
        <f aca="false">IFERROR(AVERAGEIF('Registro de Fichas'!$D$7:$D$1200,$A119,'Registro de Fichas'!$I$7:$I$1200),"")</f>
        <v/>
      </c>
      <c r="H119" s="73" t="str">
        <f aca="false">IFERROR(AVERAGEIF('Registro de Fichas'!$D$7:$D$1200,$A119,'Registro de Fichas'!$J$7:$J$1200),"")</f>
        <v/>
      </c>
      <c r="I119" s="38" t="str">
        <f aca="false">IF($C119=0,"",IF($C119&gt;=Parametros!$B$27,"OK","FALTAN "&amp;(Parametros!$B$27-$C119)))</f>
        <v/>
      </c>
      <c r="J119" s="38" t="str">
        <f aca="false">IF($C119=0,"",SUMIF('Registro de Fichas'!$D$7:$D$1200,$A119,'Registro de Fichas'!$M$7:$M$1200))</f>
        <v/>
      </c>
      <c r="K119" s="26" t="n">
        <f aca="false">COUNTIFS('Registro de Fichas'!$D$7:$D$1200,$A119,'Registro de Fichas'!$K$7:$K$1200,"Contenedores")</f>
        <v>0</v>
      </c>
      <c r="L119" s="26" t="n">
        <f aca="false">COUNTIFS('Registro de Fichas'!$D$7:$D$1200,$A119,'Registro de Fichas'!$K$7:$K$1200,"Granel solido")</f>
        <v>0</v>
      </c>
      <c r="M119" s="26" t="n">
        <f aca="false">COUNTIFS('Registro de Fichas'!$D$7:$D$1200,$A119,'Registro de Fichas'!$K$7:$K$1200,"Carga fraccionada")</f>
        <v>0</v>
      </c>
      <c r="N119" s="26" t="n">
        <f aca="false">COUNTIFS('Registro de Fichas'!$D$7:$D$1200,$A119,'Registro de Fichas'!$K$7:$K$1200,"Big bags")</f>
        <v>0</v>
      </c>
      <c r="O119" s="26" t="n">
        <f aca="false">COUNTIFS('Registro de Fichas'!$D$7:$D$1200,$A119,'Registro de Fichas'!$L$7:$L$1200,"Si")</f>
        <v>0</v>
      </c>
      <c r="P119" s="23" t="str">
        <f aca="false">IF($C119=0,"",IF($C119&lt;Parametros!$B$27,"EVIDENCIA INSUFICIENTE",IF(AND($D119&lt;&gt;"",$C119&lt;$D119*Parametros!$B$28),"BAJO % MUESTREO",IF($J119&lt;Parametros!$B$31,"POCOS EVALUADORES","VALIDA"))))</f>
        <v/>
      </c>
    </row>
    <row r="120" customFormat="false" ht="15" hidden="false" customHeight="true" outlineLevel="0" collapsed="false">
      <c r="A120" s="72"/>
      <c r="B120" s="16" t="str">
        <f aca="false">IFERROR(INDEX('Registro de Fichas'!$E$7:$E$1200,MATCH($A120,'Registro de Fichas'!$D$7:$D$1200,0)),"")</f>
        <v/>
      </c>
      <c r="C120" s="74" t="n">
        <f aca="false">COUNTIF('Registro de Fichas'!$D$7:$D$1200,$A120)</f>
        <v>0</v>
      </c>
      <c r="D120" s="72"/>
      <c r="E120" s="73" t="str">
        <f aca="false">IFERROR(AVERAGEIF('Registro de Fichas'!$D$7:$D$1200,$A120,'Registro de Fichas'!$G$7:$G$1200),"")</f>
        <v/>
      </c>
      <c r="F120" s="73" t="str">
        <f aca="false">IFERROR(AVERAGEIF('Registro de Fichas'!$D$7:$D$1200,$A120,'Registro de Fichas'!$H$7:$H$1200),"")</f>
        <v/>
      </c>
      <c r="G120" s="73" t="str">
        <f aca="false">IFERROR(AVERAGEIF('Registro de Fichas'!$D$7:$D$1200,$A120,'Registro de Fichas'!$I$7:$I$1200),"")</f>
        <v/>
      </c>
      <c r="H120" s="73" t="str">
        <f aca="false">IFERROR(AVERAGEIF('Registro de Fichas'!$D$7:$D$1200,$A120,'Registro de Fichas'!$J$7:$J$1200),"")</f>
        <v/>
      </c>
      <c r="I120" s="56" t="str">
        <f aca="false">IF($C120=0,"",IF($C120&gt;=Parametros!$B$27,"OK","FALTAN "&amp;(Parametros!$B$27-$C120)))</f>
        <v/>
      </c>
      <c r="J120" s="56" t="str">
        <f aca="false">IF($C120=0,"",SUMIF('Registro de Fichas'!$D$7:$D$1200,$A120,'Registro de Fichas'!$M$7:$M$1200))</f>
        <v/>
      </c>
      <c r="K120" s="74" t="n">
        <f aca="false">COUNTIFS('Registro de Fichas'!$D$7:$D$1200,$A120,'Registro de Fichas'!$K$7:$K$1200,"Contenedores")</f>
        <v>0</v>
      </c>
      <c r="L120" s="74" t="n">
        <f aca="false">COUNTIFS('Registro de Fichas'!$D$7:$D$1200,$A120,'Registro de Fichas'!$K$7:$K$1200,"Granel solido")</f>
        <v>0</v>
      </c>
      <c r="M120" s="74" t="n">
        <f aca="false">COUNTIFS('Registro de Fichas'!$D$7:$D$1200,$A120,'Registro de Fichas'!$K$7:$K$1200,"Carga fraccionada")</f>
        <v>0</v>
      </c>
      <c r="N120" s="74" t="n">
        <f aca="false">COUNTIFS('Registro de Fichas'!$D$7:$D$1200,$A120,'Registro de Fichas'!$K$7:$K$1200,"Big bags")</f>
        <v>0</v>
      </c>
      <c r="O120" s="74" t="n">
        <f aca="false">COUNTIFS('Registro de Fichas'!$D$7:$D$1200,$A120,'Registro de Fichas'!$L$7:$L$1200,"Si")</f>
        <v>0</v>
      </c>
      <c r="P120" s="75" t="str">
        <f aca="false">IF($C120=0,"",IF($C120&lt;Parametros!$B$27,"EVIDENCIA INSUFICIENTE",IF(AND($D120&lt;&gt;"",$C120&lt;$D120*Parametros!$B$28),"BAJO % MUESTREO",IF($J120&lt;Parametros!$B$31,"POCOS EVALUADORES","VALIDA"))))</f>
        <v/>
      </c>
    </row>
    <row r="121" customFormat="false" ht="15" hidden="false" customHeight="true" outlineLevel="0" collapsed="false">
      <c r="A121" s="72"/>
      <c r="B121" s="13" t="str">
        <f aca="false">IFERROR(INDEX('Registro de Fichas'!$E$7:$E$1200,MATCH($A121,'Registro de Fichas'!$D$7:$D$1200,0)),"")</f>
        <v/>
      </c>
      <c r="C121" s="26" t="n">
        <f aca="false">COUNTIF('Registro de Fichas'!$D$7:$D$1200,$A121)</f>
        <v>0</v>
      </c>
      <c r="D121" s="72"/>
      <c r="E121" s="73" t="str">
        <f aca="false">IFERROR(AVERAGEIF('Registro de Fichas'!$D$7:$D$1200,$A121,'Registro de Fichas'!$G$7:$G$1200),"")</f>
        <v/>
      </c>
      <c r="F121" s="73" t="str">
        <f aca="false">IFERROR(AVERAGEIF('Registro de Fichas'!$D$7:$D$1200,$A121,'Registro de Fichas'!$H$7:$H$1200),"")</f>
        <v/>
      </c>
      <c r="G121" s="73" t="str">
        <f aca="false">IFERROR(AVERAGEIF('Registro de Fichas'!$D$7:$D$1200,$A121,'Registro de Fichas'!$I$7:$I$1200),"")</f>
        <v/>
      </c>
      <c r="H121" s="73" t="str">
        <f aca="false">IFERROR(AVERAGEIF('Registro de Fichas'!$D$7:$D$1200,$A121,'Registro de Fichas'!$J$7:$J$1200),"")</f>
        <v/>
      </c>
      <c r="I121" s="38" t="str">
        <f aca="false">IF($C121=0,"",IF($C121&gt;=Parametros!$B$27,"OK","FALTAN "&amp;(Parametros!$B$27-$C121)))</f>
        <v/>
      </c>
      <c r="J121" s="38" t="str">
        <f aca="false">IF($C121=0,"",SUMIF('Registro de Fichas'!$D$7:$D$1200,$A121,'Registro de Fichas'!$M$7:$M$1200))</f>
        <v/>
      </c>
      <c r="K121" s="26" t="n">
        <f aca="false">COUNTIFS('Registro de Fichas'!$D$7:$D$1200,$A121,'Registro de Fichas'!$K$7:$K$1200,"Contenedores")</f>
        <v>0</v>
      </c>
      <c r="L121" s="26" t="n">
        <f aca="false">COUNTIFS('Registro de Fichas'!$D$7:$D$1200,$A121,'Registro de Fichas'!$K$7:$K$1200,"Granel solido")</f>
        <v>0</v>
      </c>
      <c r="M121" s="26" t="n">
        <f aca="false">COUNTIFS('Registro de Fichas'!$D$7:$D$1200,$A121,'Registro de Fichas'!$K$7:$K$1200,"Carga fraccionada")</f>
        <v>0</v>
      </c>
      <c r="N121" s="26" t="n">
        <f aca="false">COUNTIFS('Registro de Fichas'!$D$7:$D$1200,$A121,'Registro de Fichas'!$K$7:$K$1200,"Big bags")</f>
        <v>0</v>
      </c>
      <c r="O121" s="26" t="n">
        <f aca="false">COUNTIFS('Registro de Fichas'!$D$7:$D$1200,$A121,'Registro de Fichas'!$L$7:$L$1200,"Si")</f>
        <v>0</v>
      </c>
      <c r="P121" s="23" t="str">
        <f aca="false">IF($C121=0,"",IF($C121&lt;Parametros!$B$27,"EVIDENCIA INSUFICIENTE",IF(AND($D121&lt;&gt;"",$C121&lt;$D121*Parametros!$B$28),"BAJO % MUESTREO",IF($J121&lt;Parametros!$B$31,"POCOS EVALUADORES","VALIDA"))))</f>
        <v/>
      </c>
    </row>
    <row r="122" customFormat="false" ht="15" hidden="false" customHeight="true" outlineLevel="0" collapsed="false">
      <c r="A122" s="72"/>
      <c r="B122" s="16" t="str">
        <f aca="false">IFERROR(INDEX('Registro de Fichas'!$E$7:$E$1200,MATCH($A122,'Registro de Fichas'!$D$7:$D$1200,0)),"")</f>
        <v/>
      </c>
      <c r="C122" s="74" t="n">
        <f aca="false">COUNTIF('Registro de Fichas'!$D$7:$D$1200,$A122)</f>
        <v>0</v>
      </c>
      <c r="D122" s="72"/>
      <c r="E122" s="73" t="str">
        <f aca="false">IFERROR(AVERAGEIF('Registro de Fichas'!$D$7:$D$1200,$A122,'Registro de Fichas'!$G$7:$G$1200),"")</f>
        <v/>
      </c>
      <c r="F122" s="73" t="str">
        <f aca="false">IFERROR(AVERAGEIF('Registro de Fichas'!$D$7:$D$1200,$A122,'Registro de Fichas'!$H$7:$H$1200),"")</f>
        <v/>
      </c>
      <c r="G122" s="73" t="str">
        <f aca="false">IFERROR(AVERAGEIF('Registro de Fichas'!$D$7:$D$1200,$A122,'Registro de Fichas'!$I$7:$I$1200),"")</f>
        <v/>
      </c>
      <c r="H122" s="73" t="str">
        <f aca="false">IFERROR(AVERAGEIF('Registro de Fichas'!$D$7:$D$1200,$A122,'Registro de Fichas'!$J$7:$J$1200),"")</f>
        <v/>
      </c>
      <c r="I122" s="56" t="str">
        <f aca="false">IF($C122=0,"",IF($C122&gt;=Parametros!$B$27,"OK","FALTAN "&amp;(Parametros!$B$27-$C122)))</f>
        <v/>
      </c>
      <c r="J122" s="56" t="str">
        <f aca="false">IF($C122=0,"",SUMIF('Registro de Fichas'!$D$7:$D$1200,$A122,'Registro de Fichas'!$M$7:$M$1200))</f>
        <v/>
      </c>
      <c r="K122" s="74" t="n">
        <f aca="false">COUNTIFS('Registro de Fichas'!$D$7:$D$1200,$A122,'Registro de Fichas'!$K$7:$K$1200,"Contenedores")</f>
        <v>0</v>
      </c>
      <c r="L122" s="74" t="n">
        <f aca="false">COUNTIFS('Registro de Fichas'!$D$7:$D$1200,$A122,'Registro de Fichas'!$K$7:$K$1200,"Granel solido")</f>
        <v>0</v>
      </c>
      <c r="M122" s="74" t="n">
        <f aca="false">COUNTIFS('Registro de Fichas'!$D$7:$D$1200,$A122,'Registro de Fichas'!$K$7:$K$1200,"Carga fraccionada")</f>
        <v>0</v>
      </c>
      <c r="N122" s="74" t="n">
        <f aca="false">COUNTIFS('Registro de Fichas'!$D$7:$D$1200,$A122,'Registro de Fichas'!$K$7:$K$1200,"Big bags")</f>
        <v>0</v>
      </c>
      <c r="O122" s="74" t="n">
        <f aca="false">COUNTIFS('Registro de Fichas'!$D$7:$D$1200,$A122,'Registro de Fichas'!$L$7:$L$1200,"Si")</f>
        <v>0</v>
      </c>
      <c r="P122" s="75" t="str">
        <f aca="false">IF($C122=0,"",IF($C122&lt;Parametros!$B$27,"EVIDENCIA INSUFICIENTE",IF(AND($D122&lt;&gt;"",$C122&lt;$D122*Parametros!$B$28),"BAJO % MUESTREO",IF($J122&lt;Parametros!$B$31,"POCOS EVALUADORES","VALIDA"))))</f>
        <v/>
      </c>
    </row>
    <row r="123" customFormat="false" ht="15" hidden="false" customHeight="true" outlineLevel="0" collapsed="false">
      <c r="A123" s="72"/>
      <c r="B123" s="13" t="str">
        <f aca="false">IFERROR(INDEX('Registro de Fichas'!$E$7:$E$1200,MATCH($A123,'Registro de Fichas'!$D$7:$D$1200,0)),"")</f>
        <v/>
      </c>
      <c r="C123" s="26" t="n">
        <f aca="false">COUNTIF('Registro de Fichas'!$D$7:$D$1200,$A123)</f>
        <v>0</v>
      </c>
      <c r="D123" s="72"/>
      <c r="E123" s="73" t="str">
        <f aca="false">IFERROR(AVERAGEIF('Registro de Fichas'!$D$7:$D$1200,$A123,'Registro de Fichas'!$G$7:$G$1200),"")</f>
        <v/>
      </c>
      <c r="F123" s="73" t="str">
        <f aca="false">IFERROR(AVERAGEIF('Registro de Fichas'!$D$7:$D$1200,$A123,'Registro de Fichas'!$H$7:$H$1200),"")</f>
        <v/>
      </c>
      <c r="G123" s="73" t="str">
        <f aca="false">IFERROR(AVERAGEIF('Registro de Fichas'!$D$7:$D$1200,$A123,'Registro de Fichas'!$I$7:$I$1200),"")</f>
        <v/>
      </c>
      <c r="H123" s="73" t="str">
        <f aca="false">IFERROR(AVERAGEIF('Registro de Fichas'!$D$7:$D$1200,$A123,'Registro de Fichas'!$J$7:$J$1200),"")</f>
        <v/>
      </c>
      <c r="I123" s="38" t="str">
        <f aca="false">IF($C123=0,"",IF($C123&gt;=Parametros!$B$27,"OK","FALTAN "&amp;(Parametros!$B$27-$C123)))</f>
        <v/>
      </c>
      <c r="J123" s="38" t="str">
        <f aca="false">IF($C123=0,"",SUMIF('Registro de Fichas'!$D$7:$D$1200,$A123,'Registro de Fichas'!$M$7:$M$1200))</f>
        <v/>
      </c>
      <c r="K123" s="26" t="n">
        <f aca="false">COUNTIFS('Registro de Fichas'!$D$7:$D$1200,$A123,'Registro de Fichas'!$K$7:$K$1200,"Contenedores")</f>
        <v>0</v>
      </c>
      <c r="L123" s="26" t="n">
        <f aca="false">COUNTIFS('Registro de Fichas'!$D$7:$D$1200,$A123,'Registro de Fichas'!$K$7:$K$1200,"Granel solido")</f>
        <v>0</v>
      </c>
      <c r="M123" s="26" t="n">
        <f aca="false">COUNTIFS('Registro de Fichas'!$D$7:$D$1200,$A123,'Registro de Fichas'!$K$7:$K$1200,"Carga fraccionada")</f>
        <v>0</v>
      </c>
      <c r="N123" s="26" t="n">
        <f aca="false">COUNTIFS('Registro de Fichas'!$D$7:$D$1200,$A123,'Registro de Fichas'!$K$7:$K$1200,"Big bags")</f>
        <v>0</v>
      </c>
      <c r="O123" s="26" t="n">
        <f aca="false">COUNTIFS('Registro de Fichas'!$D$7:$D$1200,$A123,'Registro de Fichas'!$L$7:$L$1200,"Si")</f>
        <v>0</v>
      </c>
      <c r="P123" s="23" t="str">
        <f aca="false">IF($C123=0,"",IF($C123&lt;Parametros!$B$27,"EVIDENCIA INSUFICIENTE",IF(AND($D123&lt;&gt;"",$C123&lt;$D123*Parametros!$B$28),"BAJO % MUESTREO",IF($J123&lt;Parametros!$B$31,"POCOS EVALUADORES","VALIDA"))))</f>
        <v/>
      </c>
    </row>
    <row r="124" customFormat="false" ht="15" hidden="false" customHeight="true" outlineLevel="0" collapsed="false">
      <c r="A124" s="72"/>
      <c r="B124" s="16" t="str">
        <f aca="false">IFERROR(INDEX('Registro de Fichas'!$E$7:$E$1200,MATCH($A124,'Registro de Fichas'!$D$7:$D$1200,0)),"")</f>
        <v/>
      </c>
      <c r="C124" s="74" t="n">
        <f aca="false">COUNTIF('Registro de Fichas'!$D$7:$D$1200,$A124)</f>
        <v>0</v>
      </c>
      <c r="D124" s="72"/>
      <c r="E124" s="73" t="str">
        <f aca="false">IFERROR(AVERAGEIF('Registro de Fichas'!$D$7:$D$1200,$A124,'Registro de Fichas'!$G$7:$G$1200),"")</f>
        <v/>
      </c>
      <c r="F124" s="73" t="str">
        <f aca="false">IFERROR(AVERAGEIF('Registro de Fichas'!$D$7:$D$1200,$A124,'Registro de Fichas'!$H$7:$H$1200),"")</f>
        <v/>
      </c>
      <c r="G124" s="73" t="str">
        <f aca="false">IFERROR(AVERAGEIF('Registro de Fichas'!$D$7:$D$1200,$A124,'Registro de Fichas'!$I$7:$I$1200),"")</f>
        <v/>
      </c>
      <c r="H124" s="73" t="str">
        <f aca="false">IFERROR(AVERAGEIF('Registro de Fichas'!$D$7:$D$1200,$A124,'Registro de Fichas'!$J$7:$J$1200),"")</f>
        <v/>
      </c>
      <c r="I124" s="56" t="str">
        <f aca="false">IF($C124=0,"",IF($C124&gt;=Parametros!$B$27,"OK","FALTAN "&amp;(Parametros!$B$27-$C124)))</f>
        <v/>
      </c>
      <c r="J124" s="56" t="str">
        <f aca="false">IF($C124=0,"",SUMIF('Registro de Fichas'!$D$7:$D$1200,$A124,'Registro de Fichas'!$M$7:$M$1200))</f>
        <v/>
      </c>
      <c r="K124" s="74" t="n">
        <f aca="false">COUNTIFS('Registro de Fichas'!$D$7:$D$1200,$A124,'Registro de Fichas'!$K$7:$K$1200,"Contenedores")</f>
        <v>0</v>
      </c>
      <c r="L124" s="74" t="n">
        <f aca="false">COUNTIFS('Registro de Fichas'!$D$7:$D$1200,$A124,'Registro de Fichas'!$K$7:$K$1200,"Granel solido")</f>
        <v>0</v>
      </c>
      <c r="M124" s="74" t="n">
        <f aca="false">COUNTIFS('Registro de Fichas'!$D$7:$D$1200,$A124,'Registro de Fichas'!$K$7:$K$1200,"Carga fraccionada")</f>
        <v>0</v>
      </c>
      <c r="N124" s="74" t="n">
        <f aca="false">COUNTIFS('Registro de Fichas'!$D$7:$D$1200,$A124,'Registro de Fichas'!$K$7:$K$1200,"Big bags")</f>
        <v>0</v>
      </c>
      <c r="O124" s="74" t="n">
        <f aca="false">COUNTIFS('Registro de Fichas'!$D$7:$D$1200,$A124,'Registro de Fichas'!$L$7:$L$1200,"Si")</f>
        <v>0</v>
      </c>
      <c r="P124" s="75" t="str">
        <f aca="false">IF($C124=0,"",IF($C124&lt;Parametros!$B$27,"EVIDENCIA INSUFICIENTE",IF(AND($D124&lt;&gt;"",$C124&lt;$D124*Parametros!$B$28),"BAJO % MUESTREO",IF($J124&lt;Parametros!$B$31,"POCOS EVALUADORES","VALIDA"))))</f>
        <v/>
      </c>
    </row>
    <row r="125" customFormat="false" ht="15" hidden="false" customHeight="true" outlineLevel="0" collapsed="false">
      <c r="A125" s="72"/>
      <c r="B125" s="13" t="str">
        <f aca="false">IFERROR(INDEX('Registro de Fichas'!$E$7:$E$1200,MATCH($A125,'Registro de Fichas'!$D$7:$D$1200,0)),"")</f>
        <v/>
      </c>
      <c r="C125" s="26" t="n">
        <f aca="false">COUNTIF('Registro de Fichas'!$D$7:$D$1200,$A125)</f>
        <v>0</v>
      </c>
      <c r="D125" s="72"/>
      <c r="E125" s="73" t="str">
        <f aca="false">IFERROR(AVERAGEIF('Registro de Fichas'!$D$7:$D$1200,$A125,'Registro de Fichas'!$G$7:$G$1200),"")</f>
        <v/>
      </c>
      <c r="F125" s="73" t="str">
        <f aca="false">IFERROR(AVERAGEIF('Registro de Fichas'!$D$7:$D$1200,$A125,'Registro de Fichas'!$H$7:$H$1200),"")</f>
        <v/>
      </c>
      <c r="G125" s="73" t="str">
        <f aca="false">IFERROR(AVERAGEIF('Registro de Fichas'!$D$7:$D$1200,$A125,'Registro de Fichas'!$I$7:$I$1200),"")</f>
        <v/>
      </c>
      <c r="H125" s="73" t="str">
        <f aca="false">IFERROR(AVERAGEIF('Registro de Fichas'!$D$7:$D$1200,$A125,'Registro de Fichas'!$J$7:$J$1200),"")</f>
        <v/>
      </c>
      <c r="I125" s="38" t="str">
        <f aca="false">IF($C125=0,"",IF($C125&gt;=Parametros!$B$27,"OK","FALTAN "&amp;(Parametros!$B$27-$C125)))</f>
        <v/>
      </c>
      <c r="J125" s="38" t="str">
        <f aca="false">IF($C125=0,"",SUMIF('Registro de Fichas'!$D$7:$D$1200,$A125,'Registro de Fichas'!$M$7:$M$1200))</f>
        <v/>
      </c>
      <c r="K125" s="26" t="n">
        <f aca="false">COUNTIFS('Registro de Fichas'!$D$7:$D$1200,$A125,'Registro de Fichas'!$K$7:$K$1200,"Contenedores")</f>
        <v>0</v>
      </c>
      <c r="L125" s="26" t="n">
        <f aca="false">COUNTIFS('Registro de Fichas'!$D$7:$D$1200,$A125,'Registro de Fichas'!$K$7:$K$1200,"Granel solido")</f>
        <v>0</v>
      </c>
      <c r="M125" s="26" t="n">
        <f aca="false">COUNTIFS('Registro de Fichas'!$D$7:$D$1200,$A125,'Registro de Fichas'!$K$7:$K$1200,"Carga fraccionada")</f>
        <v>0</v>
      </c>
      <c r="N125" s="26" t="n">
        <f aca="false">COUNTIFS('Registro de Fichas'!$D$7:$D$1200,$A125,'Registro de Fichas'!$K$7:$K$1200,"Big bags")</f>
        <v>0</v>
      </c>
      <c r="O125" s="26" t="n">
        <f aca="false">COUNTIFS('Registro de Fichas'!$D$7:$D$1200,$A125,'Registro de Fichas'!$L$7:$L$1200,"Si")</f>
        <v>0</v>
      </c>
      <c r="P125" s="23" t="str">
        <f aca="false">IF($C125=0,"",IF($C125&lt;Parametros!$B$27,"EVIDENCIA INSUFICIENTE",IF(AND($D125&lt;&gt;"",$C125&lt;$D125*Parametros!$B$28),"BAJO % MUESTREO",IF($J125&lt;Parametros!$B$31,"POCOS EVALUADORES","VALIDA"))))</f>
        <v/>
      </c>
    </row>
    <row r="126" customFormat="false" ht="15" hidden="false" customHeight="true" outlineLevel="0" collapsed="false">
      <c r="A126" s="72"/>
      <c r="B126" s="16" t="str">
        <f aca="false">IFERROR(INDEX('Registro de Fichas'!$E$7:$E$1200,MATCH($A126,'Registro de Fichas'!$D$7:$D$1200,0)),"")</f>
        <v/>
      </c>
      <c r="C126" s="74" t="n">
        <f aca="false">COUNTIF('Registro de Fichas'!$D$7:$D$1200,$A126)</f>
        <v>0</v>
      </c>
      <c r="D126" s="72"/>
      <c r="E126" s="73" t="str">
        <f aca="false">IFERROR(AVERAGEIF('Registro de Fichas'!$D$7:$D$1200,$A126,'Registro de Fichas'!$G$7:$G$1200),"")</f>
        <v/>
      </c>
      <c r="F126" s="73" t="str">
        <f aca="false">IFERROR(AVERAGEIF('Registro de Fichas'!$D$7:$D$1200,$A126,'Registro de Fichas'!$H$7:$H$1200),"")</f>
        <v/>
      </c>
      <c r="G126" s="73" t="str">
        <f aca="false">IFERROR(AVERAGEIF('Registro de Fichas'!$D$7:$D$1200,$A126,'Registro de Fichas'!$I$7:$I$1200),"")</f>
        <v/>
      </c>
      <c r="H126" s="73" t="str">
        <f aca="false">IFERROR(AVERAGEIF('Registro de Fichas'!$D$7:$D$1200,$A126,'Registro de Fichas'!$J$7:$J$1200),"")</f>
        <v/>
      </c>
      <c r="I126" s="56" t="str">
        <f aca="false">IF($C126=0,"",IF($C126&gt;=Parametros!$B$27,"OK","FALTAN "&amp;(Parametros!$B$27-$C126)))</f>
        <v/>
      </c>
      <c r="J126" s="56" t="str">
        <f aca="false">IF($C126=0,"",SUMIF('Registro de Fichas'!$D$7:$D$1200,$A126,'Registro de Fichas'!$M$7:$M$1200))</f>
        <v/>
      </c>
      <c r="K126" s="74" t="n">
        <f aca="false">COUNTIFS('Registro de Fichas'!$D$7:$D$1200,$A126,'Registro de Fichas'!$K$7:$K$1200,"Contenedores")</f>
        <v>0</v>
      </c>
      <c r="L126" s="74" t="n">
        <f aca="false">COUNTIFS('Registro de Fichas'!$D$7:$D$1200,$A126,'Registro de Fichas'!$K$7:$K$1200,"Granel solido")</f>
        <v>0</v>
      </c>
      <c r="M126" s="74" t="n">
        <f aca="false">COUNTIFS('Registro de Fichas'!$D$7:$D$1200,$A126,'Registro de Fichas'!$K$7:$K$1200,"Carga fraccionada")</f>
        <v>0</v>
      </c>
      <c r="N126" s="74" t="n">
        <f aca="false">COUNTIFS('Registro de Fichas'!$D$7:$D$1200,$A126,'Registro de Fichas'!$K$7:$K$1200,"Big bags")</f>
        <v>0</v>
      </c>
      <c r="O126" s="74" t="n">
        <f aca="false">COUNTIFS('Registro de Fichas'!$D$7:$D$1200,$A126,'Registro de Fichas'!$L$7:$L$1200,"Si")</f>
        <v>0</v>
      </c>
      <c r="P126" s="75" t="str">
        <f aca="false">IF($C126=0,"",IF($C126&lt;Parametros!$B$27,"EVIDENCIA INSUFICIENTE",IF(AND($D126&lt;&gt;"",$C126&lt;$D126*Parametros!$B$28),"BAJO % MUESTREO",IF($J126&lt;Parametros!$B$31,"POCOS EVALUADORES","VALIDA"))))</f>
        <v/>
      </c>
    </row>
    <row r="127" customFormat="false" ht="15" hidden="false" customHeight="true" outlineLevel="0" collapsed="false">
      <c r="A127" s="72"/>
      <c r="B127" s="13" t="str">
        <f aca="false">IFERROR(INDEX('Registro de Fichas'!$E$7:$E$1200,MATCH($A127,'Registro de Fichas'!$D$7:$D$1200,0)),"")</f>
        <v/>
      </c>
      <c r="C127" s="26" t="n">
        <f aca="false">COUNTIF('Registro de Fichas'!$D$7:$D$1200,$A127)</f>
        <v>0</v>
      </c>
      <c r="D127" s="72"/>
      <c r="E127" s="73" t="str">
        <f aca="false">IFERROR(AVERAGEIF('Registro de Fichas'!$D$7:$D$1200,$A127,'Registro de Fichas'!$G$7:$G$1200),"")</f>
        <v/>
      </c>
      <c r="F127" s="73" t="str">
        <f aca="false">IFERROR(AVERAGEIF('Registro de Fichas'!$D$7:$D$1200,$A127,'Registro de Fichas'!$H$7:$H$1200),"")</f>
        <v/>
      </c>
      <c r="G127" s="73" t="str">
        <f aca="false">IFERROR(AVERAGEIF('Registro de Fichas'!$D$7:$D$1200,$A127,'Registro de Fichas'!$I$7:$I$1200),"")</f>
        <v/>
      </c>
      <c r="H127" s="73" t="str">
        <f aca="false">IFERROR(AVERAGEIF('Registro de Fichas'!$D$7:$D$1200,$A127,'Registro de Fichas'!$J$7:$J$1200),"")</f>
        <v/>
      </c>
      <c r="I127" s="38" t="str">
        <f aca="false">IF($C127=0,"",IF($C127&gt;=Parametros!$B$27,"OK","FALTAN "&amp;(Parametros!$B$27-$C127)))</f>
        <v/>
      </c>
      <c r="J127" s="38" t="str">
        <f aca="false">IF($C127=0,"",SUMIF('Registro de Fichas'!$D$7:$D$1200,$A127,'Registro de Fichas'!$M$7:$M$1200))</f>
        <v/>
      </c>
      <c r="K127" s="26" t="n">
        <f aca="false">COUNTIFS('Registro de Fichas'!$D$7:$D$1200,$A127,'Registro de Fichas'!$K$7:$K$1200,"Contenedores")</f>
        <v>0</v>
      </c>
      <c r="L127" s="26" t="n">
        <f aca="false">COUNTIFS('Registro de Fichas'!$D$7:$D$1200,$A127,'Registro de Fichas'!$K$7:$K$1200,"Granel solido")</f>
        <v>0</v>
      </c>
      <c r="M127" s="26" t="n">
        <f aca="false">COUNTIFS('Registro de Fichas'!$D$7:$D$1200,$A127,'Registro de Fichas'!$K$7:$K$1200,"Carga fraccionada")</f>
        <v>0</v>
      </c>
      <c r="N127" s="26" t="n">
        <f aca="false">COUNTIFS('Registro de Fichas'!$D$7:$D$1200,$A127,'Registro de Fichas'!$K$7:$K$1200,"Big bags")</f>
        <v>0</v>
      </c>
      <c r="O127" s="26" t="n">
        <f aca="false">COUNTIFS('Registro de Fichas'!$D$7:$D$1200,$A127,'Registro de Fichas'!$L$7:$L$1200,"Si")</f>
        <v>0</v>
      </c>
      <c r="P127" s="23" t="str">
        <f aca="false">IF($C127=0,"",IF($C127&lt;Parametros!$B$27,"EVIDENCIA INSUFICIENTE",IF(AND($D127&lt;&gt;"",$C127&lt;$D127*Parametros!$B$28),"BAJO % MUESTREO",IF($J127&lt;Parametros!$B$31,"POCOS EVALUADORES","VALIDA"))))</f>
        <v/>
      </c>
    </row>
    <row r="128" customFormat="false" ht="15" hidden="false" customHeight="true" outlineLevel="0" collapsed="false">
      <c r="A128" s="72"/>
      <c r="B128" s="16" t="str">
        <f aca="false">IFERROR(INDEX('Registro de Fichas'!$E$7:$E$1200,MATCH($A128,'Registro de Fichas'!$D$7:$D$1200,0)),"")</f>
        <v/>
      </c>
      <c r="C128" s="74" t="n">
        <f aca="false">COUNTIF('Registro de Fichas'!$D$7:$D$1200,$A128)</f>
        <v>0</v>
      </c>
      <c r="D128" s="72"/>
      <c r="E128" s="73" t="str">
        <f aca="false">IFERROR(AVERAGEIF('Registro de Fichas'!$D$7:$D$1200,$A128,'Registro de Fichas'!$G$7:$G$1200),"")</f>
        <v/>
      </c>
      <c r="F128" s="73" t="str">
        <f aca="false">IFERROR(AVERAGEIF('Registro de Fichas'!$D$7:$D$1200,$A128,'Registro de Fichas'!$H$7:$H$1200),"")</f>
        <v/>
      </c>
      <c r="G128" s="73" t="str">
        <f aca="false">IFERROR(AVERAGEIF('Registro de Fichas'!$D$7:$D$1200,$A128,'Registro de Fichas'!$I$7:$I$1200),"")</f>
        <v/>
      </c>
      <c r="H128" s="73" t="str">
        <f aca="false">IFERROR(AVERAGEIF('Registro de Fichas'!$D$7:$D$1200,$A128,'Registro de Fichas'!$J$7:$J$1200),"")</f>
        <v/>
      </c>
      <c r="I128" s="56" t="str">
        <f aca="false">IF($C128=0,"",IF($C128&gt;=Parametros!$B$27,"OK","FALTAN "&amp;(Parametros!$B$27-$C128)))</f>
        <v/>
      </c>
      <c r="J128" s="56" t="str">
        <f aca="false">IF($C128=0,"",SUMIF('Registro de Fichas'!$D$7:$D$1200,$A128,'Registro de Fichas'!$M$7:$M$1200))</f>
        <v/>
      </c>
      <c r="K128" s="74" t="n">
        <f aca="false">COUNTIFS('Registro de Fichas'!$D$7:$D$1200,$A128,'Registro de Fichas'!$K$7:$K$1200,"Contenedores")</f>
        <v>0</v>
      </c>
      <c r="L128" s="74" t="n">
        <f aca="false">COUNTIFS('Registro de Fichas'!$D$7:$D$1200,$A128,'Registro de Fichas'!$K$7:$K$1200,"Granel solido")</f>
        <v>0</v>
      </c>
      <c r="M128" s="74" t="n">
        <f aca="false">COUNTIFS('Registro de Fichas'!$D$7:$D$1200,$A128,'Registro de Fichas'!$K$7:$K$1200,"Carga fraccionada")</f>
        <v>0</v>
      </c>
      <c r="N128" s="74" t="n">
        <f aca="false">COUNTIFS('Registro de Fichas'!$D$7:$D$1200,$A128,'Registro de Fichas'!$K$7:$K$1200,"Big bags")</f>
        <v>0</v>
      </c>
      <c r="O128" s="74" t="n">
        <f aca="false">COUNTIFS('Registro de Fichas'!$D$7:$D$1200,$A128,'Registro de Fichas'!$L$7:$L$1200,"Si")</f>
        <v>0</v>
      </c>
      <c r="P128" s="75" t="str">
        <f aca="false">IF($C128=0,"",IF($C128&lt;Parametros!$B$27,"EVIDENCIA INSUFICIENTE",IF(AND($D128&lt;&gt;"",$C128&lt;$D128*Parametros!$B$28),"BAJO % MUESTREO",IF($J128&lt;Parametros!$B$31,"POCOS EVALUADORES","VALIDA"))))</f>
        <v/>
      </c>
    </row>
    <row r="129" customFormat="false" ht="15" hidden="false" customHeight="true" outlineLevel="0" collapsed="false">
      <c r="A129" s="72"/>
      <c r="B129" s="13" t="str">
        <f aca="false">IFERROR(INDEX('Registro de Fichas'!$E$7:$E$1200,MATCH($A129,'Registro de Fichas'!$D$7:$D$1200,0)),"")</f>
        <v/>
      </c>
      <c r="C129" s="26" t="n">
        <f aca="false">COUNTIF('Registro de Fichas'!$D$7:$D$1200,$A129)</f>
        <v>0</v>
      </c>
      <c r="D129" s="72"/>
      <c r="E129" s="73" t="str">
        <f aca="false">IFERROR(AVERAGEIF('Registro de Fichas'!$D$7:$D$1200,$A129,'Registro de Fichas'!$G$7:$G$1200),"")</f>
        <v/>
      </c>
      <c r="F129" s="73" t="str">
        <f aca="false">IFERROR(AVERAGEIF('Registro de Fichas'!$D$7:$D$1200,$A129,'Registro de Fichas'!$H$7:$H$1200),"")</f>
        <v/>
      </c>
      <c r="G129" s="73" t="str">
        <f aca="false">IFERROR(AVERAGEIF('Registro de Fichas'!$D$7:$D$1200,$A129,'Registro de Fichas'!$I$7:$I$1200),"")</f>
        <v/>
      </c>
      <c r="H129" s="73" t="str">
        <f aca="false">IFERROR(AVERAGEIF('Registro de Fichas'!$D$7:$D$1200,$A129,'Registro de Fichas'!$J$7:$J$1200),"")</f>
        <v/>
      </c>
      <c r="I129" s="38" t="str">
        <f aca="false">IF($C129=0,"",IF($C129&gt;=Parametros!$B$27,"OK","FALTAN "&amp;(Parametros!$B$27-$C129)))</f>
        <v/>
      </c>
      <c r="J129" s="38" t="str">
        <f aca="false">IF($C129=0,"",SUMIF('Registro de Fichas'!$D$7:$D$1200,$A129,'Registro de Fichas'!$M$7:$M$1200))</f>
        <v/>
      </c>
      <c r="K129" s="26" t="n">
        <f aca="false">COUNTIFS('Registro de Fichas'!$D$7:$D$1200,$A129,'Registro de Fichas'!$K$7:$K$1200,"Contenedores")</f>
        <v>0</v>
      </c>
      <c r="L129" s="26" t="n">
        <f aca="false">COUNTIFS('Registro de Fichas'!$D$7:$D$1200,$A129,'Registro de Fichas'!$K$7:$K$1200,"Granel solido")</f>
        <v>0</v>
      </c>
      <c r="M129" s="26" t="n">
        <f aca="false">COUNTIFS('Registro de Fichas'!$D$7:$D$1200,$A129,'Registro de Fichas'!$K$7:$K$1200,"Carga fraccionada")</f>
        <v>0</v>
      </c>
      <c r="N129" s="26" t="n">
        <f aca="false">COUNTIFS('Registro de Fichas'!$D$7:$D$1200,$A129,'Registro de Fichas'!$K$7:$K$1200,"Big bags")</f>
        <v>0</v>
      </c>
      <c r="O129" s="26" t="n">
        <f aca="false">COUNTIFS('Registro de Fichas'!$D$7:$D$1200,$A129,'Registro de Fichas'!$L$7:$L$1200,"Si")</f>
        <v>0</v>
      </c>
      <c r="P129" s="23" t="str">
        <f aca="false">IF($C129=0,"",IF($C129&lt;Parametros!$B$27,"EVIDENCIA INSUFICIENTE",IF(AND($D129&lt;&gt;"",$C129&lt;$D129*Parametros!$B$28),"BAJO % MUESTREO",IF($J129&lt;Parametros!$B$31,"POCOS EVALUADORES","VALIDA"))))</f>
        <v/>
      </c>
    </row>
    <row r="130" customFormat="false" ht="15" hidden="false" customHeight="true" outlineLevel="0" collapsed="false">
      <c r="A130" s="72"/>
      <c r="B130" s="16" t="str">
        <f aca="false">IFERROR(INDEX('Registro de Fichas'!$E$7:$E$1200,MATCH($A130,'Registro de Fichas'!$D$7:$D$1200,0)),"")</f>
        <v/>
      </c>
      <c r="C130" s="74" t="n">
        <f aca="false">COUNTIF('Registro de Fichas'!$D$7:$D$1200,$A130)</f>
        <v>0</v>
      </c>
      <c r="D130" s="72"/>
      <c r="E130" s="73" t="str">
        <f aca="false">IFERROR(AVERAGEIF('Registro de Fichas'!$D$7:$D$1200,$A130,'Registro de Fichas'!$G$7:$G$1200),"")</f>
        <v/>
      </c>
      <c r="F130" s="73" t="str">
        <f aca="false">IFERROR(AVERAGEIF('Registro de Fichas'!$D$7:$D$1200,$A130,'Registro de Fichas'!$H$7:$H$1200),"")</f>
        <v/>
      </c>
      <c r="G130" s="73" t="str">
        <f aca="false">IFERROR(AVERAGEIF('Registro de Fichas'!$D$7:$D$1200,$A130,'Registro de Fichas'!$I$7:$I$1200),"")</f>
        <v/>
      </c>
      <c r="H130" s="73" t="str">
        <f aca="false">IFERROR(AVERAGEIF('Registro de Fichas'!$D$7:$D$1200,$A130,'Registro de Fichas'!$J$7:$J$1200),"")</f>
        <v/>
      </c>
      <c r="I130" s="56" t="str">
        <f aca="false">IF($C130=0,"",IF($C130&gt;=Parametros!$B$27,"OK","FALTAN "&amp;(Parametros!$B$27-$C130)))</f>
        <v/>
      </c>
      <c r="J130" s="56" t="str">
        <f aca="false">IF($C130=0,"",SUMIF('Registro de Fichas'!$D$7:$D$1200,$A130,'Registro de Fichas'!$M$7:$M$1200))</f>
        <v/>
      </c>
      <c r="K130" s="74" t="n">
        <f aca="false">COUNTIFS('Registro de Fichas'!$D$7:$D$1200,$A130,'Registro de Fichas'!$K$7:$K$1200,"Contenedores")</f>
        <v>0</v>
      </c>
      <c r="L130" s="74" t="n">
        <f aca="false">COUNTIFS('Registro de Fichas'!$D$7:$D$1200,$A130,'Registro de Fichas'!$K$7:$K$1200,"Granel solido")</f>
        <v>0</v>
      </c>
      <c r="M130" s="74" t="n">
        <f aca="false">COUNTIFS('Registro de Fichas'!$D$7:$D$1200,$A130,'Registro de Fichas'!$K$7:$K$1200,"Carga fraccionada")</f>
        <v>0</v>
      </c>
      <c r="N130" s="74" t="n">
        <f aca="false">COUNTIFS('Registro de Fichas'!$D$7:$D$1200,$A130,'Registro de Fichas'!$K$7:$K$1200,"Big bags")</f>
        <v>0</v>
      </c>
      <c r="O130" s="74" t="n">
        <f aca="false">COUNTIFS('Registro de Fichas'!$D$7:$D$1200,$A130,'Registro de Fichas'!$L$7:$L$1200,"Si")</f>
        <v>0</v>
      </c>
      <c r="P130" s="75" t="str">
        <f aca="false">IF($C130=0,"",IF($C130&lt;Parametros!$B$27,"EVIDENCIA INSUFICIENTE",IF(AND($D130&lt;&gt;"",$C130&lt;$D130*Parametros!$B$28),"BAJO % MUESTREO",IF($J130&lt;Parametros!$B$31,"POCOS EVALUADORES","VALIDA"))))</f>
        <v/>
      </c>
    </row>
    <row r="131" customFormat="false" ht="15" hidden="false" customHeight="true" outlineLevel="0" collapsed="false">
      <c r="A131" s="72"/>
      <c r="B131" s="13" t="str">
        <f aca="false">IFERROR(INDEX('Registro de Fichas'!$E$7:$E$1200,MATCH($A131,'Registro de Fichas'!$D$7:$D$1200,0)),"")</f>
        <v/>
      </c>
      <c r="C131" s="26" t="n">
        <f aca="false">COUNTIF('Registro de Fichas'!$D$7:$D$1200,$A131)</f>
        <v>0</v>
      </c>
      <c r="D131" s="72"/>
      <c r="E131" s="73" t="str">
        <f aca="false">IFERROR(AVERAGEIF('Registro de Fichas'!$D$7:$D$1200,$A131,'Registro de Fichas'!$G$7:$G$1200),"")</f>
        <v/>
      </c>
      <c r="F131" s="73" t="str">
        <f aca="false">IFERROR(AVERAGEIF('Registro de Fichas'!$D$7:$D$1200,$A131,'Registro de Fichas'!$H$7:$H$1200),"")</f>
        <v/>
      </c>
      <c r="G131" s="73" t="str">
        <f aca="false">IFERROR(AVERAGEIF('Registro de Fichas'!$D$7:$D$1200,$A131,'Registro de Fichas'!$I$7:$I$1200),"")</f>
        <v/>
      </c>
      <c r="H131" s="73" t="str">
        <f aca="false">IFERROR(AVERAGEIF('Registro de Fichas'!$D$7:$D$1200,$A131,'Registro de Fichas'!$J$7:$J$1200),"")</f>
        <v/>
      </c>
      <c r="I131" s="38" t="str">
        <f aca="false">IF($C131=0,"",IF($C131&gt;=Parametros!$B$27,"OK","FALTAN "&amp;(Parametros!$B$27-$C131)))</f>
        <v/>
      </c>
      <c r="J131" s="38" t="str">
        <f aca="false">IF($C131=0,"",SUMIF('Registro de Fichas'!$D$7:$D$1200,$A131,'Registro de Fichas'!$M$7:$M$1200))</f>
        <v/>
      </c>
      <c r="K131" s="26" t="n">
        <f aca="false">COUNTIFS('Registro de Fichas'!$D$7:$D$1200,$A131,'Registro de Fichas'!$K$7:$K$1200,"Contenedores")</f>
        <v>0</v>
      </c>
      <c r="L131" s="26" t="n">
        <f aca="false">COUNTIFS('Registro de Fichas'!$D$7:$D$1200,$A131,'Registro de Fichas'!$K$7:$K$1200,"Granel solido")</f>
        <v>0</v>
      </c>
      <c r="M131" s="26" t="n">
        <f aca="false">COUNTIFS('Registro de Fichas'!$D$7:$D$1200,$A131,'Registro de Fichas'!$K$7:$K$1200,"Carga fraccionada")</f>
        <v>0</v>
      </c>
      <c r="N131" s="26" t="n">
        <f aca="false">COUNTIFS('Registro de Fichas'!$D$7:$D$1200,$A131,'Registro de Fichas'!$K$7:$K$1200,"Big bags")</f>
        <v>0</v>
      </c>
      <c r="O131" s="26" t="n">
        <f aca="false">COUNTIFS('Registro de Fichas'!$D$7:$D$1200,$A131,'Registro de Fichas'!$L$7:$L$1200,"Si")</f>
        <v>0</v>
      </c>
      <c r="P131" s="23" t="str">
        <f aca="false">IF($C131=0,"",IF($C131&lt;Parametros!$B$27,"EVIDENCIA INSUFICIENTE",IF(AND($D131&lt;&gt;"",$C131&lt;$D131*Parametros!$B$28),"BAJO % MUESTREO",IF($J131&lt;Parametros!$B$31,"POCOS EVALUADORES","VALIDA"))))</f>
        <v/>
      </c>
    </row>
    <row r="132" customFormat="false" ht="15" hidden="false" customHeight="true" outlineLevel="0" collapsed="false">
      <c r="A132" s="72"/>
      <c r="B132" s="16" t="str">
        <f aca="false">IFERROR(INDEX('Registro de Fichas'!$E$7:$E$1200,MATCH($A132,'Registro de Fichas'!$D$7:$D$1200,0)),"")</f>
        <v/>
      </c>
      <c r="C132" s="74" t="n">
        <f aca="false">COUNTIF('Registro de Fichas'!$D$7:$D$1200,$A132)</f>
        <v>0</v>
      </c>
      <c r="D132" s="72"/>
      <c r="E132" s="73" t="str">
        <f aca="false">IFERROR(AVERAGEIF('Registro de Fichas'!$D$7:$D$1200,$A132,'Registro de Fichas'!$G$7:$G$1200),"")</f>
        <v/>
      </c>
      <c r="F132" s="73" t="str">
        <f aca="false">IFERROR(AVERAGEIF('Registro de Fichas'!$D$7:$D$1200,$A132,'Registro de Fichas'!$H$7:$H$1200),"")</f>
        <v/>
      </c>
      <c r="G132" s="73" t="str">
        <f aca="false">IFERROR(AVERAGEIF('Registro de Fichas'!$D$7:$D$1200,$A132,'Registro de Fichas'!$I$7:$I$1200),"")</f>
        <v/>
      </c>
      <c r="H132" s="73" t="str">
        <f aca="false">IFERROR(AVERAGEIF('Registro de Fichas'!$D$7:$D$1200,$A132,'Registro de Fichas'!$J$7:$J$1200),"")</f>
        <v/>
      </c>
      <c r="I132" s="56" t="str">
        <f aca="false">IF($C132=0,"",IF($C132&gt;=Parametros!$B$27,"OK","FALTAN "&amp;(Parametros!$B$27-$C132)))</f>
        <v/>
      </c>
      <c r="J132" s="56" t="str">
        <f aca="false">IF($C132=0,"",SUMIF('Registro de Fichas'!$D$7:$D$1200,$A132,'Registro de Fichas'!$M$7:$M$1200))</f>
        <v/>
      </c>
      <c r="K132" s="74" t="n">
        <f aca="false">COUNTIFS('Registro de Fichas'!$D$7:$D$1200,$A132,'Registro de Fichas'!$K$7:$K$1200,"Contenedores")</f>
        <v>0</v>
      </c>
      <c r="L132" s="74" t="n">
        <f aca="false">COUNTIFS('Registro de Fichas'!$D$7:$D$1200,$A132,'Registro de Fichas'!$K$7:$K$1200,"Granel solido")</f>
        <v>0</v>
      </c>
      <c r="M132" s="74" t="n">
        <f aca="false">COUNTIFS('Registro de Fichas'!$D$7:$D$1200,$A132,'Registro de Fichas'!$K$7:$K$1200,"Carga fraccionada")</f>
        <v>0</v>
      </c>
      <c r="N132" s="74" t="n">
        <f aca="false">COUNTIFS('Registro de Fichas'!$D$7:$D$1200,$A132,'Registro de Fichas'!$K$7:$K$1200,"Big bags")</f>
        <v>0</v>
      </c>
      <c r="O132" s="74" t="n">
        <f aca="false">COUNTIFS('Registro de Fichas'!$D$7:$D$1200,$A132,'Registro de Fichas'!$L$7:$L$1200,"Si")</f>
        <v>0</v>
      </c>
      <c r="P132" s="75" t="str">
        <f aca="false">IF($C132=0,"",IF($C132&lt;Parametros!$B$27,"EVIDENCIA INSUFICIENTE",IF(AND($D132&lt;&gt;"",$C132&lt;$D132*Parametros!$B$28),"BAJO % MUESTREO",IF($J132&lt;Parametros!$B$31,"POCOS EVALUADORES","VALIDA"))))</f>
        <v/>
      </c>
    </row>
    <row r="133" customFormat="false" ht="15" hidden="false" customHeight="true" outlineLevel="0" collapsed="false">
      <c r="A133" s="72"/>
      <c r="B133" s="13" t="str">
        <f aca="false">IFERROR(INDEX('Registro de Fichas'!$E$7:$E$1200,MATCH($A133,'Registro de Fichas'!$D$7:$D$1200,0)),"")</f>
        <v/>
      </c>
      <c r="C133" s="26" t="n">
        <f aca="false">COUNTIF('Registro de Fichas'!$D$7:$D$1200,$A133)</f>
        <v>0</v>
      </c>
      <c r="D133" s="72"/>
      <c r="E133" s="73" t="str">
        <f aca="false">IFERROR(AVERAGEIF('Registro de Fichas'!$D$7:$D$1200,$A133,'Registro de Fichas'!$G$7:$G$1200),"")</f>
        <v/>
      </c>
      <c r="F133" s="73" t="str">
        <f aca="false">IFERROR(AVERAGEIF('Registro de Fichas'!$D$7:$D$1200,$A133,'Registro de Fichas'!$H$7:$H$1200),"")</f>
        <v/>
      </c>
      <c r="G133" s="73" t="str">
        <f aca="false">IFERROR(AVERAGEIF('Registro de Fichas'!$D$7:$D$1200,$A133,'Registro de Fichas'!$I$7:$I$1200),"")</f>
        <v/>
      </c>
      <c r="H133" s="73" t="str">
        <f aca="false">IFERROR(AVERAGEIF('Registro de Fichas'!$D$7:$D$1200,$A133,'Registro de Fichas'!$J$7:$J$1200),"")</f>
        <v/>
      </c>
      <c r="I133" s="38" t="str">
        <f aca="false">IF($C133=0,"",IF($C133&gt;=Parametros!$B$27,"OK","FALTAN "&amp;(Parametros!$B$27-$C133)))</f>
        <v/>
      </c>
      <c r="J133" s="38" t="str">
        <f aca="false">IF($C133=0,"",SUMIF('Registro de Fichas'!$D$7:$D$1200,$A133,'Registro de Fichas'!$M$7:$M$1200))</f>
        <v/>
      </c>
      <c r="K133" s="26" t="n">
        <f aca="false">COUNTIFS('Registro de Fichas'!$D$7:$D$1200,$A133,'Registro de Fichas'!$K$7:$K$1200,"Contenedores")</f>
        <v>0</v>
      </c>
      <c r="L133" s="26" t="n">
        <f aca="false">COUNTIFS('Registro de Fichas'!$D$7:$D$1200,$A133,'Registro de Fichas'!$K$7:$K$1200,"Granel solido")</f>
        <v>0</v>
      </c>
      <c r="M133" s="26" t="n">
        <f aca="false">COUNTIFS('Registro de Fichas'!$D$7:$D$1200,$A133,'Registro de Fichas'!$K$7:$K$1200,"Carga fraccionada")</f>
        <v>0</v>
      </c>
      <c r="N133" s="26" t="n">
        <f aca="false">COUNTIFS('Registro de Fichas'!$D$7:$D$1200,$A133,'Registro de Fichas'!$K$7:$K$1200,"Big bags")</f>
        <v>0</v>
      </c>
      <c r="O133" s="26" t="n">
        <f aca="false">COUNTIFS('Registro de Fichas'!$D$7:$D$1200,$A133,'Registro de Fichas'!$L$7:$L$1200,"Si")</f>
        <v>0</v>
      </c>
      <c r="P133" s="23" t="str">
        <f aca="false">IF($C133=0,"",IF($C133&lt;Parametros!$B$27,"EVIDENCIA INSUFICIENTE",IF(AND($D133&lt;&gt;"",$C133&lt;$D133*Parametros!$B$28),"BAJO % MUESTREO",IF($J133&lt;Parametros!$B$31,"POCOS EVALUADORES","VALIDA"))))</f>
        <v/>
      </c>
    </row>
    <row r="134" customFormat="false" ht="15" hidden="false" customHeight="true" outlineLevel="0" collapsed="false">
      <c r="A134" s="72"/>
      <c r="B134" s="16" t="str">
        <f aca="false">IFERROR(INDEX('Registro de Fichas'!$E$7:$E$1200,MATCH($A134,'Registro de Fichas'!$D$7:$D$1200,0)),"")</f>
        <v/>
      </c>
      <c r="C134" s="74" t="n">
        <f aca="false">COUNTIF('Registro de Fichas'!$D$7:$D$1200,$A134)</f>
        <v>0</v>
      </c>
      <c r="D134" s="72"/>
      <c r="E134" s="73" t="str">
        <f aca="false">IFERROR(AVERAGEIF('Registro de Fichas'!$D$7:$D$1200,$A134,'Registro de Fichas'!$G$7:$G$1200),"")</f>
        <v/>
      </c>
      <c r="F134" s="73" t="str">
        <f aca="false">IFERROR(AVERAGEIF('Registro de Fichas'!$D$7:$D$1200,$A134,'Registro de Fichas'!$H$7:$H$1200),"")</f>
        <v/>
      </c>
      <c r="G134" s="73" t="str">
        <f aca="false">IFERROR(AVERAGEIF('Registro de Fichas'!$D$7:$D$1200,$A134,'Registro de Fichas'!$I$7:$I$1200),"")</f>
        <v/>
      </c>
      <c r="H134" s="73" t="str">
        <f aca="false">IFERROR(AVERAGEIF('Registro de Fichas'!$D$7:$D$1200,$A134,'Registro de Fichas'!$J$7:$J$1200),"")</f>
        <v/>
      </c>
      <c r="I134" s="56" t="str">
        <f aca="false">IF($C134=0,"",IF($C134&gt;=Parametros!$B$27,"OK","FALTAN "&amp;(Parametros!$B$27-$C134)))</f>
        <v/>
      </c>
      <c r="J134" s="56" t="str">
        <f aca="false">IF($C134=0,"",SUMIF('Registro de Fichas'!$D$7:$D$1200,$A134,'Registro de Fichas'!$M$7:$M$1200))</f>
        <v/>
      </c>
      <c r="K134" s="74" t="n">
        <f aca="false">COUNTIFS('Registro de Fichas'!$D$7:$D$1200,$A134,'Registro de Fichas'!$K$7:$K$1200,"Contenedores")</f>
        <v>0</v>
      </c>
      <c r="L134" s="74" t="n">
        <f aca="false">COUNTIFS('Registro de Fichas'!$D$7:$D$1200,$A134,'Registro de Fichas'!$K$7:$K$1200,"Granel solido")</f>
        <v>0</v>
      </c>
      <c r="M134" s="74" t="n">
        <f aca="false">COUNTIFS('Registro de Fichas'!$D$7:$D$1200,$A134,'Registro de Fichas'!$K$7:$K$1200,"Carga fraccionada")</f>
        <v>0</v>
      </c>
      <c r="N134" s="74" t="n">
        <f aca="false">COUNTIFS('Registro de Fichas'!$D$7:$D$1200,$A134,'Registro de Fichas'!$K$7:$K$1200,"Big bags")</f>
        <v>0</v>
      </c>
      <c r="O134" s="74" t="n">
        <f aca="false">COUNTIFS('Registro de Fichas'!$D$7:$D$1200,$A134,'Registro de Fichas'!$L$7:$L$1200,"Si")</f>
        <v>0</v>
      </c>
      <c r="P134" s="75" t="str">
        <f aca="false">IF($C134=0,"",IF($C134&lt;Parametros!$B$27,"EVIDENCIA INSUFICIENTE",IF(AND($D134&lt;&gt;"",$C134&lt;$D134*Parametros!$B$28),"BAJO % MUESTREO",IF($J134&lt;Parametros!$B$31,"POCOS EVALUADORES","VALIDA"))))</f>
        <v/>
      </c>
    </row>
    <row r="135" customFormat="false" ht="15" hidden="false" customHeight="true" outlineLevel="0" collapsed="false">
      <c r="A135" s="72"/>
      <c r="B135" s="13" t="str">
        <f aca="false">IFERROR(INDEX('Registro de Fichas'!$E$7:$E$1200,MATCH($A135,'Registro de Fichas'!$D$7:$D$1200,0)),"")</f>
        <v/>
      </c>
      <c r="C135" s="26" t="n">
        <f aca="false">COUNTIF('Registro de Fichas'!$D$7:$D$1200,$A135)</f>
        <v>0</v>
      </c>
      <c r="D135" s="72"/>
      <c r="E135" s="73" t="str">
        <f aca="false">IFERROR(AVERAGEIF('Registro de Fichas'!$D$7:$D$1200,$A135,'Registro de Fichas'!$G$7:$G$1200),"")</f>
        <v/>
      </c>
      <c r="F135" s="73" t="str">
        <f aca="false">IFERROR(AVERAGEIF('Registro de Fichas'!$D$7:$D$1200,$A135,'Registro de Fichas'!$H$7:$H$1200),"")</f>
        <v/>
      </c>
      <c r="G135" s="73" t="str">
        <f aca="false">IFERROR(AVERAGEIF('Registro de Fichas'!$D$7:$D$1200,$A135,'Registro de Fichas'!$I$7:$I$1200),"")</f>
        <v/>
      </c>
      <c r="H135" s="73" t="str">
        <f aca="false">IFERROR(AVERAGEIF('Registro de Fichas'!$D$7:$D$1200,$A135,'Registro de Fichas'!$J$7:$J$1200),"")</f>
        <v/>
      </c>
      <c r="I135" s="38" t="str">
        <f aca="false">IF($C135=0,"",IF($C135&gt;=Parametros!$B$27,"OK","FALTAN "&amp;(Parametros!$B$27-$C135)))</f>
        <v/>
      </c>
      <c r="J135" s="38" t="str">
        <f aca="false">IF($C135=0,"",SUMIF('Registro de Fichas'!$D$7:$D$1200,$A135,'Registro de Fichas'!$M$7:$M$1200))</f>
        <v/>
      </c>
      <c r="K135" s="26" t="n">
        <f aca="false">COUNTIFS('Registro de Fichas'!$D$7:$D$1200,$A135,'Registro de Fichas'!$K$7:$K$1200,"Contenedores")</f>
        <v>0</v>
      </c>
      <c r="L135" s="26" t="n">
        <f aca="false">COUNTIFS('Registro de Fichas'!$D$7:$D$1200,$A135,'Registro de Fichas'!$K$7:$K$1200,"Granel solido")</f>
        <v>0</v>
      </c>
      <c r="M135" s="26" t="n">
        <f aca="false">COUNTIFS('Registro de Fichas'!$D$7:$D$1200,$A135,'Registro de Fichas'!$K$7:$K$1200,"Carga fraccionada")</f>
        <v>0</v>
      </c>
      <c r="N135" s="26" t="n">
        <f aca="false">COUNTIFS('Registro de Fichas'!$D$7:$D$1200,$A135,'Registro de Fichas'!$K$7:$K$1200,"Big bags")</f>
        <v>0</v>
      </c>
      <c r="O135" s="26" t="n">
        <f aca="false">COUNTIFS('Registro de Fichas'!$D$7:$D$1200,$A135,'Registro de Fichas'!$L$7:$L$1200,"Si")</f>
        <v>0</v>
      </c>
      <c r="P135" s="23" t="str">
        <f aca="false">IF($C135=0,"",IF($C135&lt;Parametros!$B$27,"EVIDENCIA INSUFICIENTE",IF(AND($D135&lt;&gt;"",$C135&lt;$D135*Parametros!$B$28),"BAJO % MUESTREO",IF($J135&lt;Parametros!$B$31,"POCOS EVALUADORES","VALIDA"))))</f>
        <v/>
      </c>
    </row>
    <row r="136" customFormat="false" ht="15" hidden="false" customHeight="true" outlineLevel="0" collapsed="false">
      <c r="A136" s="72"/>
      <c r="B136" s="16" t="str">
        <f aca="false">IFERROR(INDEX('Registro de Fichas'!$E$7:$E$1200,MATCH($A136,'Registro de Fichas'!$D$7:$D$1200,0)),"")</f>
        <v/>
      </c>
      <c r="C136" s="74" t="n">
        <f aca="false">COUNTIF('Registro de Fichas'!$D$7:$D$1200,$A136)</f>
        <v>0</v>
      </c>
      <c r="D136" s="72"/>
      <c r="E136" s="73" t="str">
        <f aca="false">IFERROR(AVERAGEIF('Registro de Fichas'!$D$7:$D$1200,$A136,'Registro de Fichas'!$G$7:$G$1200),"")</f>
        <v/>
      </c>
      <c r="F136" s="73" t="str">
        <f aca="false">IFERROR(AVERAGEIF('Registro de Fichas'!$D$7:$D$1200,$A136,'Registro de Fichas'!$H$7:$H$1200),"")</f>
        <v/>
      </c>
      <c r="G136" s="73" t="str">
        <f aca="false">IFERROR(AVERAGEIF('Registro de Fichas'!$D$7:$D$1200,$A136,'Registro de Fichas'!$I$7:$I$1200),"")</f>
        <v/>
      </c>
      <c r="H136" s="73" t="str">
        <f aca="false">IFERROR(AVERAGEIF('Registro de Fichas'!$D$7:$D$1200,$A136,'Registro de Fichas'!$J$7:$J$1200),"")</f>
        <v/>
      </c>
      <c r="I136" s="56" t="str">
        <f aca="false">IF($C136=0,"",IF($C136&gt;=Parametros!$B$27,"OK","FALTAN "&amp;(Parametros!$B$27-$C136)))</f>
        <v/>
      </c>
      <c r="J136" s="56" t="str">
        <f aca="false">IF($C136=0,"",SUMIF('Registro de Fichas'!$D$7:$D$1200,$A136,'Registro de Fichas'!$M$7:$M$1200))</f>
        <v/>
      </c>
      <c r="K136" s="74" t="n">
        <f aca="false">COUNTIFS('Registro de Fichas'!$D$7:$D$1200,$A136,'Registro de Fichas'!$K$7:$K$1200,"Contenedores")</f>
        <v>0</v>
      </c>
      <c r="L136" s="74" t="n">
        <f aca="false">COUNTIFS('Registro de Fichas'!$D$7:$D$1200,$A136,'Registro de Fichas'!$K$7:$K$1200,"Granel solido")</f>
        <v>0</v>
      </c>
      <c r="M136" s="74" t="n">
        <f aca="false">COUNTIFS('Registro de Fichas'!$D$7:$D$1200,$A136,'Registro de Fichas'!$K$7:$K$1200,"Carga fraccionada")</f>
        <v>0</v>
      </c>
      <c r="N136" s="74" t="n">
        <f aca="false">COUNTIFS('Registro de Fichas'!$D$7:$D$1200,$A136,'Registro de Fichas'!$K$7:$K$1200,"Big bags")</f>
        <v>0</v>
      </c>
      <c r="O136" s="74" t="n">
        <f aca="false">COUNTIFS('Registro de Fichas'!$D$7:$D$1200,$A136,'Registro de Fichas'!$L$7:$L$1200,"Si")</f>
        <v>0</v>
      </c>
      <c r="P136" s="75" t="str">
        <f aca="false">IF($C136=0,"",IF($C136&lt;Parametros!$B$27,"EVIDENCIA INSUFICIENTE",IF(AND($D136&lt;&gt;"",$C136&lt;$D136*Parametros!$B$28),"BAJO % MUESTREO",IF($J136&lt;Parametros!$B$31,"POCOS EVALUADORES","VALIDA"))))</f>
        <v/>
      </c>
    </row>
    <row r="137" customFormat="false" ht="15" hidden="false" customHeight="true" outlineLevel="0" collapsed="false">
      <c r="A137" s="72"/>
      <c r="B137" s="13" t="str">
        <f aca="false">IFERROR(INDEX('Registro de Fichas'!$E$7:$E$1200,MATCH($A137,'Registro de Fichas'!$D$7:$D$1200,0)),"")</f>
        <v/>
      </c>
      <c r="C137" s="26" t="n">
        <f aca="false">COUNTIF('Registro de Fichas'!$D$7:$D$1200,$A137)</f>
        <v>0</v>
      </c>
      <c r="D137" s="72"/>
      <c r="E137" s="73" t="str">
        <f aca="false">IFERROR(AVERAGEIF('Registro de Fichas'!$D$7:$D$1200,$A137,'Registro de Fichas'!$G$7:$G$1200),"")</f>
        <v/>
      </c>
      <c r="F137" s="73" t="str">
        <f aca="false">IFERROR(AVERAGEIF('Registro de Fichas'!$D$7:$D$1200,$A137,'Registro de Fichas'!$H$7:$H$1200),"")</f>
        <v/>
      </c>
      <c r="G137" s="73" t="str">
        <f aca="false">IFERROR(AVERAGEIF('Registro de Fichas'!$D$7:$D$1200,$A137,'Registro de Fichas'!$I$7:$I$1200),"")</f>
        <v/>
      </c>
      <c r="H137" s="73" t="str">
        <f aca="false">IFERROR(AVERAGEIF('Registro de Fichas'!$D$7:$D$1200,$A137,'Registro de Fichas'!$J$7:$J$1200),"")</f>
        <v/>
      </c>
      <c r="I137" s="38" t="str">
        <f aca="false">IF($C137=0,"",IF($C137&gt;=Parametros!$B$27,"OK","FALTAN "&amp;(Parametros!$B$27-$C137)))</f>
        <v/>
      </c>
      <c r="J137" s="38" t="str">
        <f aca="false">IF($C137=0,"",SUMIF('Registro de Fichas'!$D$7:$D$1200,$A137,'Registro de Fichas'!$M$7:$M$1200))</f>
        <v/>
      </c>
      <c r="K137" s="26" t="n">
        <f aca="false">COUNTIFS('Registro de Fichas'!$D$7:$D$1200,$A137,'Registro de Fichas'!$K$7:$K$1200,"Contenedores")</f>
        <v>0</v>
      </c>
      <c r="L137" s="26" t="n">
        <f aca="false">COUNTIFS('Registro de Fichas'!$D$7:$D$1200,$A137,'Registro de Fichas'!$K$7:$K$1200,"Granel solido")</f>
        <v>0</v>
      </c>
      <c r="M137" s="26" t="n">
        <f aca="false">COUNTIFS('Registro de Fichas'!$D$7:$D$1200,$A137,'Registro de Fichas'!$K$7:$K$1200,"Carga fraccionada")</f>
        <v>0</v>
      </c>
      <c r="N137" s="26" t="n">
        <f aca="false">COUNTIFS('Registro de Fichas'!$D$7:$D$1200,$A137,'Registro de Fichas'!$K$7:$K$1200,"Big bags")</f>
        <v>0</v>
      </c>
      <c r="O137" s="26" t="n">
        <f aca="false">COUNTIFS('Registro de Fichas'!$D$7:$D$1200,$A137,'Registro de Fichas'!$L$7:$L$1200,"Si")</f>
        <v>0</v>
      </c>
      <c r="P137" s="23" t="str">
        <f aca="false">IF($C137=0,"",IF($C137&lt;Parametros!$B$27,"EVIDENCIA INSUFICIENTE",IF(AND($D137&lt;&gt;"",$C137&lt;$D137*Parametros!$B$28),"BAJO % MUESTREO",IF($J137&lt;Parametros!$B$31,"POCOS EVALUADORES","VALIDA"))))</f>
        <v/>
      </c>
    </row>
    <row r="138" customFormat="false" ht="15" hidden="false" customHeight="true" outlineLevel="0" collapsed="false">
      <c r="A138" s="72"/>
      <c r="B138" s="16" t="str">
        <f aca="false">IFERROR(INDEX('Registro de Fichas'!$E$7:$E$1200,MATCH($A138,'Registro de Fichas'!$D$7:$D$1200,0)),"")</f>
        <v/>
      </c>
      <c r="C138" s="74" t="n">
        <f aca="false">COUNTIF('Registro de Fichas'!$D$7:$D$1200,$A138)</f>
        <v>0</v>
      </c>
      <c r="D138" s="72"/>
      <c r="E138" s="73" t="str">
        <f aca="false">IFERROR(AVERAGEIF('Registro de Fichas'!$D$7:$D$1200,$A138,'Registro de Fichas'!$G$7:$G$1200),"")</f>
        <v/>
      </c>
      <c r="F138" s="73" t="str">
        <f aca="false">IFERROR(AVERAGEIF('Registro de Fichas'!$D$7:$D$1200,$A138,'Registro de Fichas'!$H$7:$H$1200),"")</f>
        <v/>
      </c>
      <c r="G138" s="73" t="str">
        <f aca="false">IFERROR(AVERAGEIF('Registro de Fichas'!$D$7:$D$1200,$A138,'Registro de Fichas'!$I$7:$I$1200),"")</f>
        <v/>
      </c>
      <c r="H138" s="73" t="str">
        <f aca="false">IFERROR(AVERAGEIF('Registro de Fichas'!$D$7:$D$1200,$A138,'Registro de Fichas'!$J$7:$J$1200),"")</f>
        <v/>
      </c>
      <c r="I138" s="56" t="str">
        <f aca="false">IF($C138=0,"",IF($C138&gt;=Parametros!$B$27,"OK","FALTAN "&amp;(Parametros!$B$27-$C138)))</f>
        <v/>
      </c>
      <c r="J138" s="56" t="str">
        <f aca="false">IF($C138=0,"",SUMIF('Registro de Fichas'!$D$7:$D$1200,$A138,'Registro de Fichas'!$M$7:$M$1200))</f>
        <v/>
      </c>
      <c r="K138" s="74" t="n">
        <f aca="false">COUNTIFS('Registro de Fichas'!$D$7:$D$1200,$A138,'Registro de Fichas'!$K$7:$K$1200,"Contenedores")</f>
        <v>0</v>
      </c>
      <c r="L138" s="74" t="n">
        <f aca="false">COUNTIFS('Registro de Fichas'!$D$7:$D$1200,$A138,'Registro de Fichas'!$K$7:$K$1200,"Granel solido")</f>
        <v>0</v>
      </c>
      <c r="M138" s="74" t="n">
        <f aca="false">COUNTIFS('Registro de Fichas'!$D$7:$D$1200,$A138,'Registro de Fichas'!$K$7:$K$1200,"Carga fraccionada")</f>
        <v>0</v>
      </c>
      <c r="N138" s="74" t="n">
        <f aca="false">COUNTIFS('Registro de Fichas'!$D$7:$D$1200,$A138,'Registro de Fichas'!$K$7:$K$1200,"Big bags")</f>
        <v>0</v>
      </c>
      <c r="O138" s="74" t="n">
        <f aca="false">COUNTIFS('Registro de Fichas'!$D$7:$D$1200,$A138,'Registro de Fichas'!$L$7:$L$1200,"Si")</f>
        <v>0</v>
      </c>
      <c r="P138" s="75" t="str">
        <f aca="false">IF($C138=0,"",IF($C138&lt;Parametros!$B$27,"EVIDENCIA INSUFICIENTE",IF(AND($D138&lt;&gt;"",$C138&lt;$D138*Parametros!$B$28),"BAJO % MUESTREO",IF($J138&lt;Parametros!$B$31,"POCOS EVALUADORES","VALIDA"))))</f>
        <v/>
      </c>
    </row>
    <row r="139" customFormat="false" ht="15" hidden="false" customHeight="true" outlineLevel="0" collapsed="false">
      <c r="A139" s="72"/>
      <c r="B139" s="13" t="str">
        <f aca="false">IFERROR(INDEX('Registro de Fichas'!$E$7:$E$1200,MATCH($A139,'Registro de Fichas'!$D$7:$D$1200,0)),"")</f>
        <v/>
      </c>
      <c r="C139" s="26" t="n">
        <f aca="false">COUNTIF('Registro de Fichas'!$D$7:$D$1200,$A139)</f>
        <v>0</v>
      </c>
      <c r="D139" s="72"/>
      <c r="E139" s="73" t="str">
        <f aca="false">IFERROR(AVERAGEIF('Registro de Fichas'!$D$7:$D$1200,$A139,'Registro de Fichas'!$G$7:$G$1200),"")</f>
        <v/>
      </c>
      <c r="F139" s="73" t="str">
        <f aca="false">IFERROR(AVERAGEIF('Registro de Fichas'!$D$7:$D$1200,$A139,'Registro de Fichas'!$H$7:$H$1200),"")</f>
        <v/>
      </c>
      <c r="G139" s="73" t="str">
        <f aca="false">IFERROR(AVERAGEIF('Registro de Fichas'!$D$7:$D$1200,$A139,'Registro de Fichas'!$I$7:$I$1200),"")</f>
        <v/>
      </c>
      <c r="H139" s="73" t="str">
        <f aca="false">IFERROR(AVERAGEIF('Registro de Fichas'!$D$7:$D$1200,$A139,'Registro de Fichas'!$J$7:$J$1200),"")</f>
        <v/>
      </c>
      <c r="I139" s="38" t="str">
        <f aca="false">IF($C139=0,"",IF($C139&gt;=Parametros!$B$27,"OK","FALTAN "&amp;(Parametros!$B$27-$C139)))</f>
        <v/>
      </c>
      <c r="J139" s="38" t="str">
        <f aca="false">IF($C139=0,"",SUMIF('Registro de Fichas'!$D$7:$D$1200,$A139,'Registro de Fichas'!$M$7:$M$1200))</f>
        <v/>
      </c>
      <c r="K139" s="26" t="n">
        <f aca="false">COUNTIFS('Registro de Fichas'!$D$7:$D$1200,$A139,'Registro de Fichas'!$K$7:$K$1200,"Contenedores")</f>
        <v>0</v>
      </c>
      <c r="L139" s="26" t="n">
        <f aca="false">COUNTIFS('Registro de Fichas'!$D$7:$D$1200,$A139,'Registro de Fichas'!$K$7:$K$1200,"Granel solido")</f>
        <v>0</v>
      </c>
      <c r="M139" s="26" t="n">
        <f aca="false">COUNTIFS('Registro de Fichas'!$D$7:$D$1200,$A139,'Registro de Fichas'!$K$7:$K$1200,"Carga fraccionada")</f>
        <v>0</v>
      </c>
      <c r="N139" s="26" t="n">
        <f aca="false">COUNTIFS('Registro de Fichas'!$D$7:$D$1200,$A139,'Registro de Fichas'!$K$7:$K$1200,"Big bags")</f>
        <v>0</v>
      </c>
      <c r="O139" s="26" t="n">
        <f aca="false">COUNTIFS('Registro de Fichas'!$D$7:$D$1200,$A139,'Registro de Fichas'!$L$7:$L$1200,"Si")</f>
        <v>0</v>
      </c>
      <c r="P139" s="23" t="str">
        <f aca="false">IF($C139=0,"",IF($C139&lt;Parametros!$B$27,"EVIDENCIA INSUFICIENTE",IF(AND($D139&lt;&gt;"",$C139&lt;$D139*Parametros!$B$28),"BAJO % MUESTREO",IF($J139&lt;Parametros!$B$31,"POCOS EVALUADORES","VALIDA"))))</f>
        <v/>
      </c>
    </row>
    <row r="140" customFormat="false" ht="15" hidden="false" customHeight="true" outlineLevel="0" collapsed="false">
      <c r="A140" s="72"/>
      <c r="B140" s="16" t="str">
        <f aca="false">IFERROR(INDEX('Registro de Fichas'!$E$7:$E$1200,MATCH($A140,'Registro de Fichas'!$D$7:$D$1200,0)),"")</f>
        <v/>
      </c>
      <c r="C140" s="74" t="n">
        <f aca="false">COUNTIF('Registro de Fichas'!$D$7:$D$1200,$A140)</f>
        <v>0</v>
      </c>
      <c r="D140" s="72"/>
      <c r="E140" s="73" t="str">
        <f aca="false">IFERROR(AVERAGEIF('Registro de Fichas'!$D$7:$D$1200,$A140,'Registro de Fichas'!$G$7:$G$1200),"")</f>
        <v/>
      </c>
      <c r="F140" s="73" t="str">
        <f aca="false">IFERROR(AVERAGEIF('Registro de Fichas'!$D$7:$D$1200,$A140,'Registro de Fichas'!$H$7:$H$1200),"")</f>
        <v/>
      </c>
      <c r="G140" s="73" t="str">
        <f aca="false">IFERROR(AVERAGEIF('Registro de Fichas'!$D$7:$D$1200,$A140,'Registro de Fichas'!$I$7:$I$1200),"")</f>
        <v/>
      </c>
      <c r="H140" s="73" t="str">
        <f aca="false">IFERROR(AVERAGEIF('Registro de Fichas'!$D$7:$D$1200,$A140,'Registro de Fichas'!$J$7:$J$1200),"")</f>
        <v/>
      </c>
      <c r="I140" s="56" t="str">
        <f aca="false">IF($C140=0,"",IF($C140&gt;=Parametros!$B$27,"OK","FALTAN "&amp;(Parametros!$B$27-$C140)))</f>
        <v/>
      </c>
      <c r="J140" s="56" t="str">
        <f aca="false">IF($C140=0,"",SUMIF('Registro de Fichas'!$D$7:$D$1200,$A140,'Registro de Fichas'!$M$7:$M$1200))</f>
        <v/>
      </c>
      <c r="K140" s="74" t="n">
        <f aca="false">COUNTIFS('Registro de Fichas'!$D$7:$D$1200,$A140,'Registro de Fichas'!$K$7:$K$1200,"Contenedores")</f>
        <v>0</v>
      </c>
      <c r="L140" s="74" t="n">
        <f aca="false">COUNTIFS('Registro de Fichas'!$D$7:$D$1200,$A140,'Registro de Fichas'!$K$7:$K$1200,"Granel solido")</f>
        <v>0</v>
      </c>
      <c r="M140" s="74" t="n">
        <f aca="false">COUNTIFS('Registro de Fichas'!$D$7:$D$1200,$A140,'Registro de Fichas'!$K$7:$K$1200,"Carga fraccionada")</f>
        <v>0</v>
      </c>
      <c r="N140" s="74" t="n">
        <f aca="false">COUNTIFS('Registro de Fichas'!$D$7:$D$1200,$A140,'Registro de Fichas'!$K$7:$K$1200,"Big bags")</f>
        <v>0</v>
      </c>
      <c r="O140" s="74" t="n">
        <f aca="false">COUNTIFS('Registro de Fichas'!$D$7:$D$1200,$A140,'Registro de Fichas'!$L$7:$L$1200,"Si")</f>
        <v>0</v>
      </c>
      <c r="P140" s="75" t="str">
        <f aca="false">IF($C140=0,"",IF($C140&lt;Parametros!$B$27,"EVIDENCIA INSUFICIENTE",IF(AND($D140&lt;&gt;"",$C140&lt;$D140*Parametros!$B$28),"BAJO % MUESTREO",IF($J140&lt;Parametros!$B$31,"POCOS EVALUADORES","VALIDA"))))</f>
        <v/>
      </c>
    </row>
    <row r="141" customFormat="false" ht="15" hidden="false" customHeight="true" outlineLevel="0" collapsed="false">
      <c r="A141" s="72"/>
      <c r="B141" s="13" t="str">
        <f aca="false">IFERROR(INDEX('Registro de Fichas'!$E$7:$E$1200,MATCH($A141,'Registro de Fichas'!$D$7:$D$1200,0)),"")</f>
        <v/>
      </c>
      <c r="C141" s="26" t="n">
        <f aca="false">COUNTIF('Registro de Fichas'!$D$7:$D$1200,$A141)</f>
        <v>0</v>
      </c>
      <c r="D141" s="72"/>
      <c r="E141" s="73" t="str">
        <f aca="false">IFERROR(AVERAGEIF('Registro de Fichas'!$D$7:$D$1200,$A141,'Registro de Fichas'!$G$7:$G$1200),"")</f>
        <v/>
      </c>
      <c r="F141" s="73" t="str">
        <f aca="false">IFERROR(AVERAGEIF('Registro de Fichas'!$D$7:$D$1200,$A141,'Registro de Fichas'!$H$7:$H$1200),"")</f>
        <v/>
      </c>
      <c r="G141" s="73" t="str">
        <f aca="false">IFERROR(AVERAGEIF('Registro de Fichas'!$D$7:$D$1200,$A141,'Registro de Fichas'!$I$7:$I$1200),"")</f>
        <v/>
      </c>
      <c r="H141" s="73" t="str">
        <f aca="false">IFERROR(AVERAGEIF('Registro de Fichas'!$D$7:$D$1200,$A141,'Registro de Fichas'!$J$7:$J$1200),"")</f>
        <v/>
      </c>
      <c r="I141" s="38" t="str">
        <f aca="false">IF($C141=0,"",IF($C141&gt;=Parametros!$B$27,"OK","FALTAN "&amp;(Parametros!$B$27-$C141)))</f>
        <v/>
      </c>
      <c r="J141" s="38" t="str">
        <f aca="false">IF($C141=0,"",SUMIF('Registro de Fichas'!$D$7:$D$1200,$A141,'Registro de Fichas'!$M$7:$M$1200))</f>
        <v/>
      </c>
      <c r="K141" s="26" t="n">
        <f aca="false">COUNTIFS('Registro de Fichas'!$D$7:$D$1200,$A141,'Registro de Fichas'!$K$7:$K$1200,"Contenedores")</f>
        <v>0</v>
      </c>
      <c r="L141" s="26" t="n">
        <f aca="false">COUNTIFS('Registro de Fichas'!$D$7:$D$1200,$A141,'Registro de Fichas'!$K$7:$K$1200,"Granel solido")</f>
        <v>0</v>
      </c>
      <c r="M141" s="26" t="n">
        <f aca="false">COUNTIFS('Registro de Fichas'!$D$7:$D$1200,$A141,'Registro de Fichas'!$K$7:$K$1200,"Carga fraccionada")</f>
        <v>0</v>
      </c>
      <c r="N141" s="26" t="n">
        <f aca="false">COUNTIFS('Registro de Fichas'!$D$7:$D$1200,$A141,'Registro de Fichas'!$K$7:$K$1200,"Big bags")</f>
        <v>0</v>
      </c>
      <c r="O141" s="26" t="n">
        <f aca="false">COUNTIFS('Registro de Fichas'!$D$7:$D$1200,$A141,'Registro de Fichas'!$L$7:$L$1200,"Si")</f>
        <v>0</v>
      </c>
      <c r="P141" s="23" t="str">
        <f aca="false">IF($C141=0,"",IF($C141&lt;Parametros!$B$27,"EVIDENCIA INSUFICIENTE",IF(AND($D141&lt;&gt;"",$C141&lt;$D141*Parametros!$B$28),"BAJO % MUESTREO",IF($J141&lt;Parametros!$B$31,"POCOS EVALUADORES","VALIDA"))))</f>
        <v/>
      </c>
    </row>
    <row r="142" customFormat="false" ht="15" hidden="false" customHeight="true" outlineLevel="0" collapsed="false">
      <c r="A142" s="72"/>
      <c r="B142" s="16" t="str">
        <f aca="false">IFERROR(INDEX('Registro de Fichas'!$E$7:$E$1200,MATCH($A142,'Registro de Fichas'!$D$7:$D$1200,0)),"")</f>
        <v/>
      </c>
      <c r="C142" s="74" t="n">
        <f aca="false">COUNTIF('Registro de Fichas'!$D$7:$D$1200,$A142)</f>
        <v>0</v>
      </c>
      <c r="D142" s="72"/>
      <c r="E142" s="73" t="str">
        <f aca="false">IFERROR(AVERAGEIF('Registro de Fichas'!$D$7:$D$1200,$A142,'Registro de Fichas'!$G$7:$G$1200),"")</f>
        <v/>
      </c>
      <c r="F142" s="73" t="str">
        <f aca="false">IFERROR(AVERAGEIF('Registro de Fichas'!$D$7:$D$1200,$A142,'Registro de Fichas'!$H$7:$H$1200),"")</f>
        <v/>
      </c>
      <c r="G142" s="73" t="str">
        <f aca="false">IFERROR(AVERAGEIF('Registro de Fichas'!$D$7:$D$1200,$A142,'Registro de Fichas'!$I$7:$I$1200),"")</f>
        <v/>
      </c>
      <c r="H142" s="73" t="str">
        <f aca="false">IFERROR(AVERAGEIF('Registro de Fichas'!$D$7:$D$1200,$A142,'Registro de Fichas'!$J$7:$J$1200),"")</f>
        <v/>
      </c>
      <c r="I142" s="56" t="str">
        <f aca="false">IF($C142=0,"",IF($C142&gt;=Parametros!$B$27,"OK","FALTAN "&amp;(Parametros!$B$27-$C142)))</f>
        <v/>
      </c>
      <c r="J142" s="56" t="str">
        <f aca="false">IF($C142=0,"",SUMIF('Registro de Fichas'!$D$7:$D$1200,$A142,'Registro de Fichas'!$M$7:$M$1200))</f>
        <v/>
      </c>
      <c r="K142" s="74" t="n">
        <f aca="false">COUNTIFS('Registro de Fichas'!$D$7:$D$1200,$A142,'Registro de Fichas'!$K$7:$K$1200,"Contenedores")</f>
        <v>0</v>
      </c>
      <c r="L142" s="74" t="n">
        <f aca="false">COUNTIFS('Registro de Fichas'!$D$7:$D$1200,$A142,'Registro de Fichas'!$K$7:$K$1200,"Granel solido")</f>
        <v>0</v>
      </c>
      <c r="M142" s="74" t="n">
        <f aca="false">COUNTIFS('Registro de Fichas'!$D$7:$D$1200,$A142,'Registro de Fichas'!$K$7:$K$1200,"Carga fraccionada")</f>
        <v>0</v>
      </c>
      <c r="N142" s="74" t="n">
        <f aca="false">COUNTIFS('Registro de Fichas'!$D$7:$D$1200,$A142,'Registro de Fichas'!$K$7:$K$1200,"Big bags")</f>
        <v>0</v>
      </c>
      <c r="O142" s="74" t="n">
        <f aca="false">COUNTIFS('Registro de Fichas'!$D$7:$D$1200,$A142,'Registro de Fichas'!$L$7:$L$1200,"Si")</f>
        <v>0</v>
      </c>
      <c r="P142" s="75" t="str">
        <f aca="false">IF($C142=0,"",IF($C142&lt;Parametros!$B$27,"EVIDENCIA INSUFICIENTE",IF(AND($D142&lt;&gt;"",$C142&lt;$D142*Parametros!$B$28),"BAJO % MUESTREO",IF($J142&lt;Parametros!$B$31,"POCOS EVALUADORES","VALIDA"))))</f>
        <v/>
      </c>
    </row>
    <row r="143" customFormat="false" ht="15" hidden="false" customHeight="true" outlineLevel="0" collapsed="false">
      <c r="A143" s="72"/>
      <c r="B143" s="13" t="str">
        <f aca="false">IFERROR(INDEX('Registro de Fichas'!$E$7:$E$1200,MATCH($A143,'Registro de Fichas'!$D$7:$D$1200,0)),"")</f>
        <v/>
      </c>
      <c r="C143" s="26" t="n">
        <f aca="false">COUNTIF('Registro de Fichas'!$D$7:$D$1200,$A143)</f>
        <v>0</v>
      </c>
      <c r="D143" s="72"/>
      <c r="E143" s="73" t="str">
        <f aca="false">IFERROR(AVERAGEIF('Registro de Fichas'!$D$7:$D$1200,$A143,'Registro de Fichas'!$G$7:$G$1200),"")</f>
        <v/>
      </c>
      <c r="F143" s="73" t="str">
        <f aca="false">IFERROR(AVERAGEIF('Registro de Fichas'!$D$7:$D$1200,$A143,'Registro de Fichas'!$H$7:$H$1200),"")</f>
        <v/>
      </c>
      <c r="G143" s="73" t="str">
        <f aca="false">IFERROR(AVERAGEIF('Registro de Fichas'!$D$7:$D$1200,$A143,'Registro de Fichas'!$I$7:$I$1200),"")</f>
        <v/>
      </c>
      <c r="H143" s="73" t="str">
        <f aca="false">IFERROR(AVERAGEIF('Registro de Fichas'!$D$7:$D$1200,$A143,'Registro de Fichas'!$J$7:$J$1200),"")</f>
        <v/>
      </c>
      <c r="I143" s="38" t="str">
        <f aca="false">IF($C143=0,"",IF($C143&gt;=Parametros!$B$27,"OK","FALTAN "&amp;(Parametros!$B$27-$C143)))</f>
        <v/>
      </c>
      <c r="J143" s="38" t="str">
        <f aca="false">IF($C143=0,"",SUMIF('Registro de Fichas'!$D$7:$D$1200,$A143,'Registro de Fichas'!$M$7:$M$1200))</f>
        <v/>
      </c>
      <c r="K143" s="26" t="n">
        <f aca="false">COUNTIFS('Registro de Fichas'!$D$7:$D$1200,$A143,'Registro de Fichas'!$K$7:$K$1200,"Contenedores")</f>
        <v>0</v>
      </c>
      <c r="L143" s="26" t="n">
        <f aca="false">COUNTIFS('Registro de Fichas'!$D$7:$D$1200,$A143,'Registro de Fichas'!$K$7:$K$1200,"Granel solido")</f>
        <v>0</v>
      </c>
      <c r="M143" s="26" t="n">
        <f aca="false">COUNTIFS('Registro de Fichas'!$D$7:$D$1200,$A143,'Registro de Fichas'!$K$7:$K$1200,"Carga fraccionada")</f>
        <v>0</v>
      </c>
      <c r="N143" s="26" t="n">
        <f aca="false">COUNTIFS('Registro de Fichas'!$D$7:$D$1200,$A143,'Registro de Fichas'!$K$7:$K$1200,"Big bags")</f>
        <v>0</v>
      </c>
      <c r="O143" s="26" t="n">
        <f aca="false">COUNTIFS('Registro de Fichas'!$D$7:$D$1200,$A143,'Registro de Fichas'!$L$7:$L$1200,"Si")</f>
        <v>0</v>
      </c>
      <c r="P143" s="23" t="str">
        <f aca="false">IF($C143=0,"",IF($C143&lt;Parametros!$B$27,"EVIDENCIA INSUFICIENTE",IF(AND($D143&lt;&gt;"",$C143&lt;$D143*Parametros!$B$28),"BAJO % MUESTREO",IF($J143&lt;Parametros!$B$31,"POCOS EVALUADORES","VALIDA"))))</f>
        <v/>
      </c>
    </row>
    <row r="144" customFormat="false" ht="15" hidden="false" customHeight="true" outlineLevel="0" collapsed="false">
      <c r="A144" s="72"/>
      <c r="B144" s="16" t="str">
        <f aca="false">IFERROR(INDEX('Registro de Fichas'!$E$7:$E$1200,MATCH($A144,'Registro de Fichas'!$D$7:$D$1200,0)),"")</f>
        <v/>
      </c>
      <c r="C144" s="74" t="n">
        <f aca="false">COUNTIF('Registro de Fichas'!$D$7:$D$1200,$A144)</f>
        <v>0</v>
      </c>
      <c r="D144" s="72"/>
      <c r="E144" s="73" t="str">
        <f aca="false">IFERROR(AVERAGEIF('Registro de Fichas'!$D$7:$D$1200,$A144,'Registro de Fichas'!$G$7:$G$1200),"")</f>
        <v/>
      </c>
      <c r="F144" s="73" t="str">
        <f aca="false">IFERROR(AVERAGEIF('Registro de Fichas'!$D$7:$D$1200,$A144,'Registro de Fichas'!$H$7:$H$1200),"")</f>
        <v/>
      </c>
      <c r="G144" s="73" t="str">
        <f aca="false">IFERROR(AVERAGEIF('Registro de Fichas'!$D$7:$D$1200,$A144,'Registro de Fichas'!$I$7:$I$1200),"")</f>
        <v/>
      </c>
      <c r="H144" s="73" t="str">
        <f aca="false">IFERROR(AVERAGEIF('Registro de Fichas'!$D$7:$D$1200,$A144,'Registro de Fichas'!$J$7:$J$1200),"")</f>
        <v/>
      </c>
      <c r="I144" s="56" t="str">
        <f aca="false">IF($C144=0,"",IF($C144&gt;=Parametros!$B$27,"OK","FALTAN "&amp;(Parametros!$B$27-$C144)))</f>
        <v/>
      </c>
      <c r="J144" s="56" t="str">
        <f aca="false">IF($C144=0,"",SUMIF('Registro de Fichas'!$D$7:$D$1200,$A144,'Registro de Fichas'!$M$7:$M$1200))</f>
        <v/>
      </c>
      <c r="K144" s="74" t="n">
        <f aca="false">COUNTIFS('Registro de Fichas'!$D$7:$D$1200,$A144,'Registro de Fichas'!$K$7:$K$1200,"Contenedores")</f>
        <v>0</v>
      </c>
      <c r="L144" s="74" t="n">
        <f aca="false">COUNTIFS('Registro de Fichas'!$D$7:$D$1200,$A144,'Registro de Fichas'!$K$7:$K$1200,"Granel solido")</f>
        <v>0</v>
      </c>
      <c r="M144" s="74" t="n">
        <f aca="false">COUNTIFS('Registro de Fichas'!$D$7:$D$1200,$A144,'Registro de Fichas'!$K$7:$K$1200,"Carga fraccionada")</f>
        <v>0</v>
      </c>
      <c r="N144" s="74" t="n">
        <f aca="false">COUNTIFS('Registro de Fichas'!$D$7:$D$1200,$A144,'Registro de Fichas'!$K$7:$K$1200,"Big bags")</f>
        <v>0</v>
      </c>
      <c r="O144" s="74" t="n">
        <f aca="false">COUNTIFS('Registro de Fichas'!$D$7:$D$1200,$A144,'Registro de Fichas'!$L$7:$L$1200,"Si")</f>
        <v>0</v>
      </c>
      <c r="P144" s="75" t="str">
        <f aca="false">IF($C144=0,"",IF($C144&lt;Parametros!$B$27,"EVIDENCIA INSUFICIENTE",IF(AND($D144&lt;&gt;"",$C144&lt;$D144*Parametros!$B$28),"BAJO % MUESTREO",IF($J144&lt;Parametros!$B$31,"POCOS EVALUADORES","VALIDA"))))</f>
        <v/>
      </c>
    </row>
    <row r="145" customFormat="false" ht="15" hidden="false" customHeight="true" outlineLevel="0" collapsed="false">
      <c r="A145" s="72"/>
      <c r="B145" s="13" t="str">
        <f aca="false">IFERROR(INDEX('Registro de Fichas'!$E$7:$E$1200,MATCH($A145,'Registro de Fichas'!$D$7:$D$1200,0)),"")</f>
        <v/>
      </c>
      <c r="C145" s="26" t="n">
        <f aca="false">COUNTIF('Registro de Fichas'!$D$7:$D$1200,$A145)</f>
        <v>0</v>
      </c>
      <c r="D145" s="72"/>
      <c r="E145" s="73" t="str">
        <f aca="false">IFERROR(AVERAGEIF('Registro de Fichas'!$D$7:$D$1200,$A145,'Registro de Fichas'!$G$7:$G$1200),"")</f>
        <v/>
      </c>
      <c r="F145" s="73" t="str">
        <f aca="false">IFERROR(AVERAGEIF('Registro de Fichas'!$D$7:$D$1200,$A145,'Registro de Fichas'!$H$7:$H$1200),"")</f>
        <v/>
      </c>
      <c r="G145" s="73" t="str">
        <f aca="false">IFERROR(AVERAGEIF('Registro de Fichas'!$D$7:$D$1200,$A145,'Registro de Fichas'!$I$7:$I$1200),"")</f>
        <v/>
      </c>
      <c r="H145" s="73" t="str">
        <f aca="false">IFERROR(AVERAGEIF('Registro de Fichas'!$D$7:$D$1200,$A145,'Registro de Fichas'!$J$7:$J$1200),"")</f>
        <v/>
      </c>
      <c r="I145" s="38" t="str">
        <f aca="false">IF($C145=0,"",IF($C145&gt;=Parametros!$B$27,"OK","FALTAN "&amp;(Parametros!$B$27-$C145)))</f>
        <v/>
      </c>
      <c r="J145" s="38" t="str">
        <f aca="false">IF($C145=0,"",SUMIF('Registro de Fichas'!$D$7:$D$1200,$A145,'Registro de Fichas'!$M$7:$M$1200))</f>
        <v/>
      </c>
      <c r="K145" s="26" t="n">
        <f aca="false">COUNTIFS('Registro de Fichas'!$D$7:$D$1200,$A145,'Registro de Fichas'!$K$7:$K$1200,"Contenedores")</f>
        <v>0</v>
      </c>
      <c r="L145" s="26" t="n">
        <f aca="false">COUNTIFS('Registro de Fichas'!$D$7:$D$1200,$A145,'Registro de Fichas'!$K$7:$K$1200,"Granel solido")</f>
        <v>0</v>
      </c>
      <c r="M145" s="26" t="n">
        <f aca="false">COUNTIFS('Registro de Fichas'!$D$7:$D$1200,$A145,'Registro de Fichas'!$K$7:$K$1200,"Carga fraccionada")</f>
        <v>0</v>
      </c>
      <c r="N145" s="26" t="n">
        <f aca="false">COUNTIFS('Registro de Fichas'!$D$7:$D$1200,$A145,'Registro de Fichas'!$K$7:$K$1200,"Big bags")</f>
        <v>0</v>
      </c>
      <c r="O145" s="26" t="n">
        <f aca="false">COUNTIFS('Registro de Fichas'!$D$7:$D$1200,$A145,'Registro de Fichas'!$L$7:$L$1200,"Si")</f>
        <v>0</v>
      </c>
      <c r="P145" s="23" t="str">
        <f aca="false">IF($C145=0,"",IF($C145&lt;Parametros!$B$27,"EVIDENCIA INSUFICIENTE",IF(AND($D145&lt;&gt;"",$C145&lt;$D145*Parametros!$B$28),"BAJO % MUESTREO",IF($J145&lt;Parametros!$B$31,"POCOS EVALUADORES","VALIDA"))))</f>
        <v/>
      </c>
    </row>
    <row r="146" customFormat="false" ht="15" hidden="false" customHeight="true" outlineLevel="0" collapsed="false">
      <c r="A146" s="72"/>
      <c r="B146" s="16" t="str">
        <f aca="false">IFERROR(INDEX('Registro de Fichas'!$E$7:$E$1200,MATCH($A146,'Registro de Fichas'!$D$7:$D$1200,0)),"")</f>
        <v/>
      </c>
      <c r="C146" s="74" t="n">
        <f aca="false">COUNTIF('Registro de Fichas'!$D$7:$D$1200,$A146)</f>
        <v>0</v>
      </c>
      <c r="D146" s="72"/>
      <c r="E146" s="73" t="str">
        <f aca="false">IFERROR(AVERAGEIF('Registro de Fichas'!$D$7:$D$1200,$A146,'Registro de Fichas'!$G$7:$G$1200),"")</f>
        <v/>
      </c>
      <c r="F146" s="73" t="str">
        <f aca="false">IFERROR(AVERAGEIF('Registro de Fichas'!$D$7:$D$1200,$A146,'Registro de Fichas'!$H$7:$H$1200),"")</f>
        <v/>
      </c>
      <c r="G146" s="73" t="str">
        <f aca="false">IFERROR(AVERAGEIF('Registro de Fichas'!$D$7:$D$1200,$A146,'Registro de Fichas'!$I$7:$I$1200),"")</f>
        <v/>
      </c>
      <c r="H146" s="73" t="str">
        <f aca="false">IFERROR(AVERAGEIF('Registro de Fichas'!$D$7:$D$1200,$A146,'Registro de Fichas'!$J$7:$J$1200),"")</f>
        <v/>
      </c>
      <c r="I146" s="56" t="str">
        <f aca="false">IF($C146=0,"",IF($C146&gt;=Parametros!$B$27,"OK","FALTAN "&amp;(Parametros!$B$27-$C146)))</f>
        <v/>
      </c>
      <c r="J146" s="56" t="str">
        <f aca="false">IF($C146=0,"",SUMIF('Registro de Fichas'!$D$7:$D$1200,$A146,'Registro de Fichas'!$M$7:$M$1200))</f>
        <v/>
      </c>
      <c r="K146" s="74" t="n">
        <f aca="false">COUNTIFS('Registro de Fichas'!$D$7:$D$1200,$A146,'Registro de Fichas'!$K$7:$K$1200,"Contenedores")</f>
        <v>0</v>
      </c>
      <c r="L146" s="74" t="n">
        <f aca="false">COUNTIFS('Registro de Fichas'!$D$7:$D$1200,$A146,'Registro de Fichas'!$K$7:$K$1200,"Granel solido")</f>
        <v>0</v>
      </c>
      <c r="M146" s="74" t="n">
        <f aca="false">COUNTIFS('Registro de Fichas'!$D$7:$D$1200,$A146,'Registro de Fichas'!$K$7:$K$1200,"Carga fraccionada")</f>
        <v>0</v>
      </c>
      <c r="N146" s="74" t="n">
        <f aca="false">COUNTIFS('Registro de Fichas'!$D$7:$D$1200,$A146,'Registro de Fichas'!$K$7:$K$1200,"Big bags")</f>
        <v>0</v>
      </c>
      <c r="O146" s="74" t="n">
        <f aca="false">COUNTIFS('Registro de Fichas'!$D$7:$D$1200,$A146,'Registro de Fichas'!$L$7:$L$1200,"Si")</f>
        <v>0</v>
      </c>
      <c r="P146" s="75" t="str">
        <f aca="false">IF($C146=0,"",IF($C146&lt;Parametros!$B$27,"EVIDENCIA INSUFICIENTE",IF(AND($D146&lt;&gt;"",$C146&lt;$D146*Parametros!$B$28),"BAJO % MUESTREO",IF($J146&lt;Parametros!$B$31,"POCOS EVALUADORES","VALIDA"))))</f>
        <v/>
      </c>
    </row>
    <row r="147" customFormat="false" ht="15" hidden="false" customHeight="true" outlineLevel="0" collapsed="false">
      <c r="A147" s="72"/>
      <c r="B147" s="13" t="str">
        <f aca="false">IFERROR(INDEX('Registro de Fichas'!$E$7:$E$1200,MATCH($A147,'Registro de Fichas'!$D$7:$D$1200,0)),"")</f>
        <v/>
      </c>
      <c r="C147" s="26" t="n">
        <f aca="false">COUNTIF('Registro de Fichas'!$D$7:$D$1200,$A147)</f>
        <v>0</v>
      </c>
      <c r="D147" s="72"/>
      <c r="E147" s="73" t="str">
        <f aca="false">IFERROR(AVERAGEIF('Registro de Fichas'!$D$7:$D$1200,$A147,'Registro de Fichas'!$G$7:$G$1200),"")</f>
        <v/>
      </c>
      <c r="F147" s="73" t="str">
        <f aca="false">IFERROR(AVERAGEIF('Registro de Fichas'!$D$7:$D$1200,$A147,'Registro de Fichas'!$H$7:$H$1200),"")</f>
        <v/>
      </c>
      <c r="G147" s="73" t="str">
        <f aca="false">IFERROR(AVERAGEIF('Registro de Fichas'!$D$7:$D$1200,$A147,'Registro de Fichas'!$I$7:$I$1200),"")</f>
        <v/>
      </c>
      <c r="H147" s="73" t="str">
        <f aca="false">IFERROR(AVERAGEIF('Registro de Fichas'!$D$7:$D$1200,$A147,'Registro de Fichas'!$J$7:$J$1200),"")</f>
        <v/>
      </c>
      <c r="I147" s="38" t="str">
        <f aca="false">IF($C147=0,"",IF($C147&gt;=Parametros!$B$27,"OK","FALTAN "&amp;(Parametros!$B$27-$C147)))</f>
        <v/>
      </c>
      <c r="J147" s="38" t="str">
        <f aca="false">IF($C147=0,"",SUMIF('Registro de Fichas'!$D$7:$D$1200,$A147,'Registro de Fichas'!$M$7:$M$1200))</f>
        <v/>
      </c>
      <c r="K147" s="26" t="n">
        <f aca="false">COUNTIFS('Registro de Fichas'!$D$7:$D$1200,$A147,'Registro de Fichas'!$K$7:$K$1200,"Contenedores")</f>
        <v>0</v>
      </c>
      <c r="L147" s="26" t="n">
        <f aca="false">COUNTIFS('Registro de Fichas'!$D$7:$D$1200,$A147,'Registro de Fichas'!$K$7:$K$1200,"Granel solido")</f>
        <v>0</v>
      </c>
      <c r="M147" s="26" t="n">
        <f aca="false">COUNTIFS('Registro de Fichas'!$D$7:$D$1200,$A147,'Registro de Fichas'!$K$7:$K$1200,"Carga fraccionada")</f>
        <v>0</v>
      </c>
      <c r="N147" s="26" t="n">
        <f aca="false">COUNTIFS('Registro de Fichas'!$D$7:$D$1200,$A147,'Registro de Fichas'!$K$7:$K$1200,"Big bags")</f>
        <v>0</v>
      </c>
      <c r="O147" s="26" t="n">
        <f aca="false">COUNTIFS('Registro de Fichas'!$D$7:$D$1200,$A147,'Registro de Fichas'!$L$7:$L$1200,"Si")</f>
        <v>0</v>
      </c>
      <c r="P147" s="23" t="str">
        <f aca="false">IF($C147=0,"",IF($C147&lt;Parametros!$B$27,"EVIDENCIA INSUFICIENTE",IF(AND($D147&lt;&gt;"",$C147&lt;$D147*Parametros!$B$28),"BAJO % MUESTREO",IF($J147&lt;Parametros!$B$31,"POCOS EVALUADORES","VALIDA"))))</f>
        <v/>
      </c>
    </row>
    <row r="148" customFormat="false" ht="15" hidden="false" customHeight="true" outlineLevel="0" collapsed="false">
      <c r="A148" s="72"/>
      <c r="B148" s="16" t="str">
        <f aca="false">IFERROR(INDEX('Registro de Fichas'!$E$7:$E$1200,MATCH($A148,'Registro de Fichas'!$D$7:$D$1200,0)),"")</f>
        <v/>
      </c>
      <c r="C148" s="74" t="n">
        <f aca="false">COUNTIF('Registro de Fichas'!$D$7:$D$1200,$A148)</f>
        <v>0</v>
      </c>
      <c r="D148" s="72"/>
      <c r="E148" s="73" t="str">
        <f aca="false">IFERROR(AVERAGEIF('Registro de Fichas'!$D$7:$D$1200,$A148,'Registro de Fichas'!$G$7:$G$1200),"")</f>
        <v/>
      </c>
      <c r="F148" s="73" t="str">
        <f aca="false">IFERROR(AVERAGEIF('Registro de Fichas'!$D$7:$D$1200,$A148,'Registro de Fichas'!$H$7:$H$1200),"")</f>
        <v/>
      </c>
      <c r="G148" s="73" t="str">
        <f aca="false">IFERROR(AVERAGEIF('Registro de Fichas'!$D$7:$D$1200,$A148,'Registro de Fichas'!$I$7:$I$1200),"")</f>
        <v/>
      </c>
      <c r="H148" s="73" t="str">
        <f aca="false">IFERROR(AVERAGEIF('Registro de Fichas'!$D$7:$D$1200,$A148,'Registro de Fichas'!$J$7:$J$1200),"")</f>
        <v/>
      </c>
      <c r="I148" s="56" t="str">
        <f aca="false">IF($C148=0,"",IF($C148&gt;=Parametros!$B$27,"OK","FALTAN "&amp;(Parametros!$B$27-$C148)))</f>
        <v/>
      </c>
      <c r="J148" s="56" t="str">
        <f aca="false">IF($C148=0,"",SUMIF('Registro de Fichas'!$D$7:$D$1200,$A148,'Registro de Fichas'!$M$7:$M$1200))</f>
        <v/>
      </c>
      <c r="K148" s="74" t="n">
        <f aca="false">COUNTIFS('Registro de Fichas'!$D$7:$D$1200,$A148,'Registro de Fichas'!$K$7:$K$1200,"Contenedores")</f>
        <v>0</v>
      </c>
      <c r="L148" s="74" t="n">
        <f aca="false">COUNTIFS('Registro de Fichas'!$D$7:$D$1200,$A148,'Registro de Fichas'!$K$7:$K$1200,"Granel solido")</f>
        <v>0</v>
      </c>
      <c r="M148" s="74" t="n">
        <f aca="false">COUNTIFS('Registro de Fichas'!$D$7:$D$1200,$A148,'Registro de Fichas'!$K$7:$K$1200,"Carga fraccionada")</f>
        <v>0</v>
      </c>
      <c r="N148" s="74" t="n">
        <f aca="false">COUNTIFS('Registro de Fichas'!$D$7:$D$1200,$A148,'Registro de Fichas'!$K$7:$K$1200,"Big bags")</f>
        <v>0</v>
      </c>
      <c r="O148" s="74" t="n">
        <f aca="false">COUNTIFS('Registro de Fichas'!$D$7:$D$1200,$A148,'Registro de Fichas'!$L$7:$L$1200,"Si")</f>
        <v>0</v>
      </c>
      <c r="P148" s="75" t="str">
        <f aca="false">IF($C148=0,"",IF($C148&lt;Parametros!$B$27,"EVIDENCIA INSUFICIENTE",IF(AND($D148&lt;&gt;"",$C148&lt;$D148*Parametros!$B$28),"BAJO % MUESTREO",IF($J148&lt;Parametros!$B$31,"POCOS EVALUADORES","VALIDA"))))</f>
        <v/>
      </c>
    </row>
    <row r="149" customFormat="false" ht="15" hidden="false" customHeight="true" outlineLevel="0" collapsed="false">
      <c r="A149" s="72"/>
      <c r="B149" s="13" t="str">
        <f aca="false">IFERROR(INDEX('Registro de Fichas'!$E$7:$E$1200,MATCH($A149,'Registro de Fichas'!$D$7:$D$1200,0)),"")</f>
        <v/>
      </c>
      <c r="C149" s="26" t="n">
        <f aca="false">COUNTIF('Registro de Fichas'!$D$7:$D$1200,$A149)</f>
        <v>0</v>
      </c>
      <c r="D149" s="72"/>
      <c r="E149" s="73" t="str">
        <f aca="false">IFERROR(AVERAGEIF('Registro de Fichas'!$D$7:$D$1200,$A149,'Registro de Fichas'!$G$7:$G$1200),"")</f>
        <v/>
      </c>
      <c r="F149" s="73" t="str">
        <f aca="false">IFERROR(AVERAGEIF('Registro de Fichas'!$D$7:$D$1200,$A149,'Registro de Fichas'!$H$7:$H$1200),"")</f>
        <v/>
      </c>
      <c r="G149" s="73" t="str">
        <f aca="false">IFERROR(AVERAGEIF('Registro de Fichas'!$D$7:$D$1200,$A149,'Registro de Fichas'!$I$7:$I$1200),"")</f>
        <v/>
      </c>
      <c r="H149" s="73" t="str">
        <f aca="false">IFERROR(AVERAGEIF('Registro de Fichas'!$D$7:$D$1200,$A149,'Registro de Fichas'!$J$7:$J$1200),"")</f>
        <v/>
      </c>
      <c r="I149" s="38" t="str">
        <f aca="false">IF($C149=0,"",IF($C149&gt;=Parametros!$B$27,"OK","FALTAN "&amp;(Parametros!$B$27-$C149)))</f>
        <v/>
      </c>
      <c r="J149" s="38" t="str">
        <f aca="false">IF($C149=0,"",SUMIF('Registro de Fichas'!$D$7:$D$1200,$A149,'Registro de Fichas'!$M$7:$M$1200))</f>
        <v/>
      </c>
      <c r="K149" s="26" t="n">
        <f aca="false">COUNTIFS('Registro de Fichas'!$D$7:$D$1200,$A149,'Registro de Fichas'!$K$7:$K$1200,"Contenedores")</f>
        <v>0</v>
      </c>
      <c r="L149" s="26" t="n">
        <f aca="false">COUNTIFS('Registro de Fichas'!$D$7:$D$1200,$A149,'Registro de Fichas'!$K$7:$K$1200,"Granel solido")</f>
        <v>0</v>
      </c>
      <c r="M149" s="26" t="n">
        <f aca="false">COUNTIFS('Registro de Fichas'!$D$7:$D$1200,$A149,'Registro de Fichas'!$K$7:$K$1200,"Carga fraccionada")</f>
        <v>0</v>
      </c>
      <c r="N149" s="26" t="n">
        <f aca="false">COUNTIFS('Registro de Fichas'!$D$7:$D$1200,$A149,'Registro de Fichas'!$K$7:$K$1200,"Big bags")</f>
        <v>0</v>
      </c>
      <c r="O149" s="26" t="n">
        <f aca="false">COUNTIFS('Registro de Fichas'!$D$7:$D$1200,$A149,'Registro de Fichas'!$L$7:$L$1200,"Si")</f>
        <v>0</v>
      </c>
      <c r="P149" s="23" t="str">
        <f aca="false">IF($C149=0,"",IF($C149&lt;Parametros!$B$27,"EVIDENCIA INSUFICIENTE",IF(AND($D149&lt;&gt;"",$C149&lt;$D149*Parametros!$B$28),"BAJO % MUESTREO",IF($J149&lt;Parametros!$B$31,"POCOS EVALUADORES","VALIDA"))))</f>
        <v/>
      </c>
    </row>
    <row r="150" customFormat="false" ht="15" hidden="false" customHeight="true" outlineLevel="0" collapsed="false">
      <c r="A150" s="72"/>
      <c r="B150" s="16" t="str">
        <f aca="false">IFERROR(INDEX('Registro de Fichas'!$E$7:$E$1200,MATCH($A150,'Registro de Fichas'!$D$7:$D$1200,0)),"")</f>
        <v/>
      </c>
      <c r="C150" s="74" t="n">
        <f aca="false">COUNTIF('Registro de Fichas'!$D$7:$D$1200,$A150)</f>
        <v>0</v>
      </c>
      <c r="D150" s="72"/>
      <c r="E150" s="73" t="str">
        <f aca="false">IFERROR(AVERAGEIF('Registro de Fichas'!$D$7:$D$1200,$A150,'Registro de Fichas'!$G$7:$G$1200),"")</f>
        <v/>
      </c>
      <c r="F150" s="73" t="str">
        <f aca="false">IFERROR(AVERAGEIF('Registro de Fichas'!$D$7:$D$1200,$A150,'Registro de Fichas'!$H$7:$H$1200),"")</f>
        <v/>
      </c>
      <c r="G150" s="73" t="str">
        <f aca="false">IFERROR(AVERAGEIF('Registro de Fichas'!$D$7:$D$1200,$A150,'Registro de Fichas'!$I$7:$I$1200),"")</f>
        <v/>
      </c>
      <c r="H150" s="73" t="str">
        <f aca="false">IFERROR(AVERAGEIF('Registro de Fichas'!$D$7:$D$1200,$A150,'Registro de Fichas'!$J$7:$J$1200),"")</f>
        <v/>
      </c>
      <c r="I150" s="56" t="str">
        <f aca="false">IF($C150=0,"",IF($C150&gt;=Parametros!$B$27,"OK","FALTAN "&amp;(Parametros!$B$27-$C150)))</f>
        <v/>
      </c>
      <c r="J150" s="56" t="str">
        <f aca="false">IF($C150=0,"",SUMIF('Registro de Fichas'!$D$7:$D$1200,$A150,'Registro de Fichas'!$M$7:$M$1200))</f>
        <v/>
      </c>
      <c r="K150" s="74" t="n">
        <f aca="false">COUNTIFS('Registro de Fichas'!$D$7:$D$1200,$A150,'Registro de Fichas'!$K$7:$K$1200,"Contenedores")</f>
        <v>0</v>
      </c>
      <c r="L150" s="74" t="n">
        <f aca="false">COUNTIFS('Registro de Fichas'!$D$7:$D$1200,$A150,'Registro de Fichas'!$K$7:$K$1200,"Granel solido")</f>
        <v>0</v>
      </c>
      <c r="M150" s="74" t="n">
        <f aca="false">COUNTIFS('Registro de Fichas'!$D$7:$D$1200,$A150,'Registro de Fichas'!$K$7:$K$1200,"Carga fraccionada")</f>
        <v>0</v>
      </c>
      <c r="N150" s="74" t="n">
        <f aca="false">COUNTIFS('Registro de Fichas'!$D$7:$D$1200,$A150,'Registro de Fichas'!$K$7:$K$1200,"Big bags")</f>
        <v>0</v>
      </c>
      <c r="O150" s="74" t="n">
        <f aca="false">COUNTIFS('Registro de Fichas'!$D$7:$D$1200,$A150,'Registro de Fichas'!$L$7:$L$1200,"Si")</f>
        <v>0</v>
      </c>
      <c r="P150" s="75" t="str">
        <f aca="false">IF($C150=0,"",IF($C150&lt;Parametros!$B$27,"EVIDENCIA INSUFICIENTE",IF(AND($D150&lt;&gt;"",$C150&lt;$D150*Parametros!$B$28),"BAJO % MUESTREO",IF($J150&lt;Parametros!$B$31,"POCOS EVALUADORES","VALIDA"))))</f>
        <v/>
      </c>
    </row>
    <row r="151" customFormat="false" ht="15" hidden="false" customHeight="true" outlineLevel="0" collapsed="false">
      <c r="A151" s="72"/>
      <c r="B151" s="13" t="str">
        <f aca="false">IFERROR(INDEX('Registro de Fichas'!$E$7:$E$1200,MATCH($A151,'Registro de Fichas'!$D$7:$D$1200,0)),"")</f>
        <v/>
      </c>
      <c r="C151" s="26" t="n">
        <f aca="false">COUNTIF('Registro de Fichas'!$D$7:$D$1200,$A151)</f>
        <v>0</v>
      </c>
      <c r="D151" s="72"/>
      <c r="E151" s="73" t="str">
        <f aca="false">IFERROR(AVERAGEIF('Registro de Fichas'!$D$7:$D$1200,$A151,'Registro de Fichas'!$G$7:$G$1200),"")</f>
        <v/>
      </c>
      <c r="F151" s="73" t="str">
        <f aca="false">IFERROR(AVERAGEIF('Registro de Fichas'!$D$7:$D$1200,$A151,'Registro de Fichas'!$H$7:$H$1200),"")</f>
        <v/>
      </c>
      <c r="G151" s="73" t="str">
        <f aca="false">IFERROR(AVERAGEIF('Registro de Fichas'!$D$7:$D$1200,$A151,'Registro de Fichas'!$I$7:$I$1200),"")</f>
        <v/>
      </c>
      <c r="H151" s="73" t="str">
        <f aca="false">IFERROR(AVERAGEIF('Registro de Fichas'!$D$7:$D$1200,$A151,'Registro de Fichas'!$J$7:$J$1200),"")</f>
        <v/>
      </c>
      <c r="I151" s="38" t="str">
        <f aca="false">IF($C151=0,"",IF($C151&gt;=Parametros!$B$27,"OK","FALTAN "&amp;(Parametros!$B$27-$C151)))</f>
        <v/>
      </c>
      <c r="J151" s="38" t="str">
        <f aca="false">IF($C151=0,"",SUMIF('Registro de Fichas'!$D$7:$D$1200,$A151,'Registro de Fichas'!$M$7:$M$1200))</f>
        <v/>
      </c>
      <c r="K151" s="26" t="n">
        <f aca="false">COUNTIFS('Registro de Fichas'!$D$7:$D$1200,$A151,'Registro de Fichas'!$K$7:$K$1200,"Contenedores")</f>
        <v>0</v>
      </c>
      <c r="L151" s="26" t="n">
        <f aca="false">COUNTIFS('Registro de Fichas'!$D$7:$D$1200,$A151,'Registro de Fichas'!$K$7:$K$1200,"Granel solido")</f>
        <v>0</v>
      </c>
      <c r="M151" s="26" t="n">
        <f aca="false">COUNTIFS('Registro de Fichas'!$D$7:$D$1200,$A151,'Registro de Fichas'!$K$7:$K$1200,"Carga fraccionada")</f>
        <v>0</v>
      </c>
      <c r="N151" s="26" t="n">
        <f aca="false">COUNTIFS('Registro de Fichas'!$D$7:$D$1200,$A151,'Registro de Fichas'!$K$7:$K$1200,"Big bags")</f>
        <v>0</v>
      </c>
      <c r="O151" s="26" t="n">
        <f aca="false">COUNTIFS('Registro de Fichas'!$D$7:$D$1200,$A151,'Registro de Fichas'!$L$7:$L$1200,"Si")</f>
        <v>0</v>
      </c>
      <c r="P151" s="23" t="str">
        <f aca="false">IF($C151=0,"",IF($C151&lt;Parametros!$B$27,"EVIDENCIA INSUFICIENTE",IF(AND($D151&lt;&gt;"",$C151&lt;$D151*Parametros!$B$28),"BAJO % MUESTREO",IF($J151&lt;Parametros!$B$31,"POCOS EVALUADORES","VALIDA"))))</f>
        <v/>
      </c>
    </row>
    <row r="152" customFormat="false" ht="15" hidden="false" customHeight="true" outlineLevel="0" collapsed="false">
      <c r="A152" s="72"/>
      <c r="B152" s="16" t="str">
        <f aca="false">IFERROR(INDEX('Registro de Fichas'!$E$7:$E$1200,MATCH($A152,'Registro de Fichas'!$D$7:$D$1200,0)),"")</f>
        <v/>
      </c>
      <c r="C152" s="74" t="n">
        <f aca="false">COUNTIF('Registro de Fichas'!$D$7:$D$1200,$A152)</f>
        <v>0</v>
      </c>
      <c r="D152" s="72"/>
      <c r="E152" s="73" t="str">
        <f aca="false">IFERROR(AVERAGEIF('Registro de Fichas'!$D$7:$D$1200,$A152,'Registro de Fichas'!$G$7:$G$1200),"")</f>
        <v/>
      </c>
      <c r="F152" s="73" t="str">
        <f aca="false">IFERROR(AVERAGEIF('Registro de Fichas'!$D$7:$D$1200,$A152,'Registro de Fichas'!$H$7:$H$1200),"")</f>
        <v/>
      </c>
      <c r="G152" s="73" t="str">
        <f aca="false">IFERROR(AVERAGEIF('Registro de Fichas'!$D$7:$D$1200,$A152,'Registro de Fichas'!$I$7:$I$1200),"")</f>
        <v/>
      </c>
      <c r="H152" s="73" t="str">
        <f aca="false">IFERROR(AVERAGEIF('Registro de Fichas'!$D$7:$D$1200,$A152,'Registro de Fichas'!$J$7:$J$1200),"")</f>
        <v/>
      </c>
      <c r="I152" s="56" t="str">
        <f aca="false">IF($C152=0,"",IF($C152&gt;=Parametros!$B$27,"OK","FALTAN "&amp;(Parametros!$B$27-$C152)))</f>
        <v/>
      </c>
      <c r="J152" s="56" t="str">
        <f aca="false">IF($C152=0,"",SUMIF('Registro de Fichas'!$D$7:$D$1200,$A152,'Registro de Fichas'!$M$7:$M$1200))</f>
        <v/>
      </c>
      <c r="K152" s="74" t="n">
        <f aca="false">COUNTIFS('Registro de Fichas'!$D$7:$D$1200,$A152,'Registro de Fichas'!$K$7:$K$1200,"Contenedores")</f>
        <v>0</v>
      </c>
      <c r="L152" s="74" t="n">
        <f aca="false">COUNTIFS('Registro de Fichas'!$D$7:$D$1200,$A152,'Registro de Fichas'!$K$7:$K$1200,"Granel solido")</f>
        <v>0</v>
      </c>
      <c r="M152" s="74" t="n">
        <f aca="false">COUNTIFS('Registro de Fichas'!$D$7:$D$1200,$A152,'Registro de Fichas'!$K$7:$K$1200,"Carga fraccionada")</f>
        <v>0</v>
      </c>
      <c r="N152" s="74" t="n">
        <f aca="false">COUNTIFS('Registro de Fichas'!$D$7:$D$1200,$A152,'Registro de Fichas'!$K$7:$K$1200,"Big bags")</f>
        <v>0</v>
      </c>
      <c r="O152" s="74" t="n">
        <f aca="false">COUNTIFS('Registro de Fichas'!$D$7:$D$1200,$A152,'Registro de Fichas'!$L$7:$L$1200,"Si")</f>
        <v>0</v>
      </c>
      <c r="P152" s="75" t="str">
        <f aca="false">IF($C152=0,"",IF($C152&lt;Parametros!$B$27,"EVIDENCIA INSUFICIENTE",IF(AND($D152&lt;&gt;"",$C152&lt;$D152*Parametros!$B$28),"BAJO % MUESTREO",IF($J152&lt;Parametros!$B$31,"POCOS EVALUADORES","VALIDA"))))</f>
        <v/>
      </c>
    </row>
    <row r="153" customFormat="false" ht="15" hidden="false" customHeight="true" outlineLevel="0" collapsed="false">
      <c r="A153" s="72"/>
      <c r="B153" s="13" t="str">
        <f aca="false">IFERROR(INDEX('Registro de Fichas'!$E$7:$E$1200,MATCH($A153,'Registro de Fichas'!$D$7:$D$1200,0)),"")</f>
        <v/>
      </c>
      <c r="C153" s="26" t="n">
        <f aca="false">COUNTIF('Registro de Fichas'!$D$7:$D$1200,$A153)</f>
        <v>0</v>
      </c>
      <c r="D153" s="72"/>
      <c r="E153" s="73" t="str">
        <f aca="false">IFERROR(AVERAGEIF('Registro de Fichas'!$D$7:$D$1200,$A153,'Registro de Fichas'!$G$7:$G$1200),"")</f>
        <v/>
      </c>
      <c r="F153" s="73" t="str">
        <f aca="false">IFERROR(AVERAGEIF('Registro de Fichas'!$D$7:$D$1200,$A153,'Registro de Fichas'!$H$7:$H$1200),"")</f>
        <v/>
      </c>
      <c r="G153" s="73" t="str">
        <f aca="false">IFERROR(AVERAGEIF('Registro de Fichas'!$D$7:$D$1200,$A153,'Registro de Fichas'!$I$7:$I$1200),"")</f>
        <v/>
      </c>
      <c r="H153" s="73" t="str">
        <f aca="false">IFERROR(AVERAGEIF('Registro de Fichas'!$D$7:$D$1200,$A153,'Registro de Fichas'!$J$7:$J$1200),"")</f>
        <v/>
      </c>
      <c r="I153" s="38" t="str">
        <f aca="false">IF($C153=0,"",IF($C153&gt;=Parametros!$B$27,"OK","FALTAN "&amp;(Parametros!$B$27-$C153)))</f>
        <v/>
      </c>
      <c r="J153" s="38" t="str">
        <f aca="false">IF($C153=0,"",SUMIF('Registro de Fichas'!$D$7:$D$1200,$A153,'Registro de Fichas'!$M$7:$M$1200))</f>
        <v/>
      </c>
      <c r="K153" s="26" t="n">
        <f aca="false">COUNTIFS('Registro de Fichas'!$D$7:$D$1200,$A153,'Registro de Fichas'!$K$7:$K$1200,"Contenedores")</f>
        <v>0</v>
      </c>
      <c r="L153" s="26" t="n">
        <f aca="false">COUNTIFS('Registro de Fichas'!$D$7:$D$1200,$A153,'Registro de Fichas'!$K$7:$K$1200,"Granel solido")</f>
        <v>0</v>
      </c>
      <c r="M153" s="26" t="n">
        <f aca="false">COUNTIFS('Registro de Fichas'!$D$7:$D$1200,$A153,'Registro de Fichas'!$K$7:$K$1200,"Carga fraccionada")</f>
        <v>0</v>
      </c>
      <c r="N153" s="26" t="n">
        <f aca="false">COUNTIFS('Registro de Fichas'!$D$7:$D$1200,$A153,'Registro de Fichas'!$K$7:$K$1200,"Big bags")</f>
        <v>0</v>
      </c>
      <c r="O153" s="26" t="n">
        <f aca="false">COUNTIFS('Registro de Fichas'!$D$7:$D$1200,$A153,'Registro de Fichas'!$L$7:$L$1200,"Si")</f>
        <v>0</v>
      </c>
      <c r="P153" s="23" t="str">
        <f aca="false">IF($C153=0,"",IF($C153&lt;Parametros!$B$27,"EVIDENCIA INSUFICIENTE",IF(AND($D153&lt;&gt;"",$C153&lt;$D153*Parametros!$B$28),"BAJO % MUESTREO",IF($J153&lt;Parametros!$B$31,"POCOS EVALUADORES","VALIDA"))))</f>
        <v/>
      </c>
    </row>
    <row r="154" customFormat="false" ht="15" hidden="false" customHeight="true" outlineLevel="0" collapsed="false">
      <c r="A154" s="72"/>
      <c r="B154" s="16" t="str">
        <f aca="false">IFERROR(INDEX('Registro de Fichas'!$E$7:$E$1200,MATCH($A154,'Registro de Fichas'!$D$7:$D$1200,0)),"")</f>
        <v/>
      </c>
      <c r="C154" s="74" t="n">
        <f aca="false">COUNTIF('Registro de Fichas'!$D$7:$D$1200,$A154)</f>
        <v>0</v>
      </c>
      <c r="D154" s="72"/>
      <c r="E154" s="73" t="str">
        <f aca="false">IFERROR(AVERAGEIF('Registro de Fichas'!$D$7:$D$1200,$A154,'Registro de Fichas'!$G$7:$G$1200),"")</f>
        <v/>
      </c>
      <c r="F154" s="73" t="str">
        <f aca="false">IFERROR(AVERAGEIF('Registro de Fichas'!$D$7:$D$1200,$A154,'Registro de Fichas'!$H$7:$H$1200),"")</f>
        <v/>
      </c>
      <c r="G154" s="73" t="str">
        <f aca="false">IFERROR(AVERAGEIF('Registro de Fichas'!$D$7:$D$1200,$A154,'Registro de Fichas'!$I$7:$I$1200),"")</f>
        <v/>
      </c>
      <c r="H154" s="73" t="str">
        <f aca="false">IFERROR(AVERAGEIF('Registro de Fichas'!$D$7:$D$1200,$A154,'Registro de Fichas'!$J$7:$J$1200),"")</f>
        <v/>
      </c>
      <c r="I154" s="56" t="str">
        <f aca="false">IF($C154=0,"",IF($C154&gt;=Parametros!$B$27,"OK","FALTAN "&amp;(Parametros!$B$27-$C154)))</f>
        <v/>
      </c>
      <c r="J154" s="56" t="str">
        <f aca="false">IF($C154=0,"",SUMIF('Registro de Fichas'!$D$7:$D$1200,$A154,'Registro de Fichas'!$M$7:$M$1200))</f>
        <v/>
      </c>
      <c r="K154" s="74" t="n">
        <f aca="false">COUNTIFS('Registro de Fichas'!$D$7:$D$1200,$A154,'Registro de Fichas'!$K$7:$K$1200,"Contenedores")</f>
        <v>0</v>
      </c>
      <c r="L154" s="74" t="n">
        <f aca="false">COUNTIFS('Registro de Fichas'!$D$7:$D$1200,$A154,'Registro de Fichas'!$K$7:$K$1200,"Granel solido")</f>
        <v>0</v>
      </c>
      <c r="M154" s="74" t="n">
        <f aca="false">COUNTIFS('Registro de Fichas'!$D$7:$D$1200,$A154,'Registro de Fichas'!$K$7:$K$1200,"Carga fraccionada")</f>
        <v>0</v>
      </c>
      <c r="N154" s="74" t="n">
        <f aca="false">COUNTIFS('Registro de Fichas'!$D$7:$D$1200,$A154,'Registro de Fichas'!$K$7:$K$1200,"Big bags")</f>
        <v>0</v>
      </c>
      <c r="O154" s="74" t="n">
        <f aca="false">COUNTIFS('Registro de Fichas'!$D$7:$D$1200,$A154,'Registro de Fichas'!$L$7:$L$1200,"Si")</f>
        <v>0</v>
      </c>
      <c r="P154" s="75" t="str">
        <f aca="false">IF($C154=0,"",IF($C154&lt;Parametros!$B$27,"EVIDENCIA INSUFICIENTE",IF(AND($D154&lt;&gt;"",$C154&lt;$D154*Parametros!$B$28),"BAJO % MUESTREO",IF($J154&lt;Parametros!$B$31,"POCOS EVALUADORES","VALIDA"))))</f>
        <v/>
      </c>
    </row>
    <row r="155" customFormat="false" ht="15" hidden="false" customHeight="true" outlineLevel="0" collapsed="false">
      <c r="A155" s="72"/>
      <c r="B155" s="13" t="str">
        <f aca="false">IFERROR(INDEX('Registro de Fichas'!$E$7:$E$1200,MATCH($A155,'Registro de Fichas'!$D$7:$D$1200,0)),"")</f>
        <v/>
      </c>
      <c r="C155" s="26" t="n">
        <f aca="false">COUNTIF('Registro de Fichas'!$D$7:$D$1200,$A155)</f>
        <v>0</v>
      </c>
      <c r="D155" s="72"/>
      <c r="E155" s="73" t="str">
        <f aca="false">IFERROR(AVERAGEIF('Registro de Fichas'!$D$7:$D$1200,$A155,'Registro de Fichas'!$G$7:$G$1200),"")</f>
        <v/>
      </c>
      <c r="F155" s="73" t="str">
        <f aca="false">IFERROR(AVERAGEIF('Registro de Fichas'!$D$7:$D$1200,$A155,'Registro de Fichas'!$H$7:$H$1200),"")</f>
        <v/>
      </c>
      <c r="G155" s="73" t="str">
        <f aca="false">IFERROR(AVERAGEIF('Registro de Fichas'!$D$7:$D$1200,$A155,'Registro de Fichas'!$I$7:$I$1200),"")</f>
        <v/>
      </c>
      <c r="H155" s="73" t="str">
        <f aca="false">IFERROR(AVERAGEIF('Registro de Fichas'!$D$7:$D$1200,$A155,'Registro de Fichas'!$J$7:$J$1200),"")</f>
        <v/>
      </c>
      <c r="I155" s="38" t="str">
        <f aca="false">IF($C155=0,"",IF($C155&gt;=Parametros!$B$27,"OK","FALTAN "&amp;(Parametros!$B$27-$C155)))</f>
        <v/>
      </c>
      <c r="J155" s="38" t="str">
        <f aca="false">IF($C155=0,"",SUMIF('Registro de Fichas'!$D$7:$D$1200,$A155,'Registro de Fichas'!$M$7:$M$1200))</f>
        <v/>
      </c>
      <c r="K155" s="26" t="n">
        <f aca="false">COUNTIFS('Registro de Fichas'!$D$7:$D$1200,$A155,'Registro de Fichas'!$K$7:$K$1200,"Contenedores")</f>
        <v>0</v>
      </c>
      <c r="L155" s="26" t="n">
        <f aca="false">COUNTIFS('Registro de Fichas'!$D$7:$D$1200,$A155,'Registro de Fichas'!$K$7:$K$1200,"Granel solido")</f>
        <v>0</v>
      </c>
      <c r="M155" s="26" t="n">
        <f aca="false">COUNTIFS('Registro de Fichas'!$D$7:$D$1200,$A155,'Registro de Fichas'!$K$7:$K$1200,"Carga fraccionada")</f>
        <v>0</v>
      </c>
      <c r="N155" s="26" t="n">
        <f aca="false">COUNTIFS('Registro de Fichas'!$D$7:$D$1200,$A155,'Registro de Fichas'!$K$7:$K$1200,"Big bags")</f>
        <v>0</v>
      </c>
      <c r="O155" s="26" t="n">
        <f aca="false">COUNTIFS('Registro de Fichas'!$D$7:$D$1200,$A155,'Registro de Fichas'!$L$7:$L$1200,"Si")</f>
        <v>0</v>
      </c>
      <c r="P155" s="23" t="str">
        <f aca="false">IF($C155=0,"",IF($C155&lt;Parametros!$B$27,"EVIDENCIA INSUFICIENTE",IF(AND($D155&lt;&gt;"",$C155&lt;$D155*Parametros!$B$28),"BAJO % MUESTREO",IF($J155&lt;Parametros!$B$31,"POCOS EVALUADORES","VALIDA"))))</f>
        <v/>
      </c>
    </row>
    <row r="156" customFormat="false" ht="15" hidden="false" customHeight="true" outlineLevel="0" collapsed="false">
      <c r="A156" s="72"/>
      <c r="B156" s="16" t="str">
        <f aca="false">IFERROR(INDEX('Registro de Fichas'!$E$7:$E$1200,MATCH($A156,'Registro de Fichas'!$D$7:$D$1200,0)),"")</f>
        <v/>
      </c>
      <c r="C156" s="74" t="n">
        <f aca="false">COUNTIF('Registro de Fichas'!$D$7:$D$1200,$A156)</f>
        <v>0</v>
      </c>
      <c r="D156" s="72"/>
      <c r="E156" s="73" t="str">
        <f aca="false">IFERROR(AVERAGEIF('Registro de Fichas'!$D$7:$D$1200,$A156,'Registro de Fichas'!$G$7:$G$1200),"")</f>
        <v/>
      </c>
      <c r="F156" s="73" t="str">
        <f aca="false">IFERROR(AVERAGEIF('Registro de Fichas'!$D$7:$D$1200,$A156,'Registro de Fichas'!$H$7:$H$1200),"")</f>
        <v/>
      </c>
      <c r="G156" s="73" t="str">
        <f aca="false">IFERROR(AVERAGEIF('Registro de Fichas'!$D$7:$D$1200,$A156,'Registro de Fichas'!$I$7:$I$1200),"")</f>
        <v/>
      </c>
      <c r="H156" s="73" t="str">
        <f aca="false">IFERROR(AVERAGEIF('Registro de Fichas'!$D$7:$D$1200,$A156,'Registro de Fichas'!$J$7:$J$1200),"")</f>
        <v/>
      </c>
      <c r="I156" s="56" t="str">
        <f aca="false">IF($C156=0,"",IF($C156&gt;=Parametros!$B$27,"OK","FALTAN "&amp;(Parametros!$B$27-$C156)))</f>
        <v/>
      </c>
      <c r="J156" s="56" t="str">
        <f aca="false">IF($C156=0,"",SUMIF('Registro de Fichas'!$D$7:$D$1200,$A156,'Registro de Fichas'!$M$7:$M$1200))</f>
        <v/>
      </c>
      <c r="K156" s="74" t="n">
        <f aca="false">COUNTIFS('Registro de Fichas'!$D$7:$D$1200,$A156,'Registro de Fichas'!$K$7:$K$1200,"Contenedores")</f>
        <v>0</v>
      </c>
      <c r="L156" s="74" t="n">
        <f aca="false">COUNTIFS('Registro de Fichas'!$D$7:$D$1200,$A156,'Registro de Fichas'!$K$7:$K$1200,"Granel solido")</f>
        <v>0</v>
      </c>
      <c r="M156" s="74" t="n">
        <f aca="false">COUNTIFS('Registro de Fichas'!$D$7:$D$1200,$A156,'Registro de Fichas'!$K$7:$K$1200,"Carga fraccionada")</f>
        <v>0</v>
      </c>
      <c r="N156" s="74" t="n">
        <f aca="false">COUNTIFS('Registro de Fichas'!$D$7:$D$1200,$A156,'Registro de Fichas'!$K$7:$K$1200,"Big bags")</f>
        <v>0</v>
      </c>
      <c r="O156" s="74" t="n">
        <f aca="false">COUNTIFS('Registro de Fichas'!$D$7:$D$1200,$A156,'Registro de Fichas'!$L$7:$L$1200,"Si")</f>
        <v>0</v>
      </c>
      <c r="P156" s="75" t="str">
        <f aca="false">IF($C156=0,"",IF($C156&lt;Parametros!$B$27,"EVIDENCIA INSUFICIENTE",IF(AND($D156&lt;&gt;"",$C156&lt;$D156*Parametros!$B$28),"BAJO % MUESTREO",IF($J156&lt;Parametros!$B$31,"POCOS EVALUADORES","VALIDA"))))</f>
        <v/>
      </c>
    </row>
    <row r="157" customFormat="false" ht="15" hidden="false" customHeight="true" outlineLevel="0" collapsed="false">
      <c r="A157" s="72"/>
      <c r="B157" s="13" t="str">
        <f aca="false">IFERROR(INDEX('Registro de Fichas'!$E$7:$E$1200,MATCH($A157,'Registro de Fichas'!$D$7:$D$1200,0)),"")</f>
        <v/>
      </c>
      <c r="C157" s="26" t="n">
        <f aca="false">COUNTIF('Registro de Fichas'!$D$7:$D$1200,$A157)</f>
        <v>0</v>
      </c>
      <c r="D157" s="72"/>
      <c r="E157" s="73" t="str">
        <f aca="false">IFERROR(AVERAGEIF('Registro de Fichas'!$D$7:$D$1200,$A157,'Registro de Fichas'!$G$7:$G$1200),"")</f>
        <v/>
      </c>
      <c r="F157" s="73" t="str">
        <f aca="false">IFERROR(AVERAGEIF('Registro de Fichas'!$D$7:$D$1200,$A157,'Registro de Fichas'!$H$7:$H$1200),"")</f>
        <v/>
      </c>
      <c r="G157" s="73" t="str">
        <f aca="false">IFERROR(AVERAGEIF('Registro de Fichas'!$D$7:$D$1200,$A157,'Registro de Fichas'!$I$7:$I$1200),"")</f>
        <v/>
      </c>
      <c r="H157" s="73" t="str">
        <f aca="false">IFERROR(AVERAGEIF('Registro de Fichas'!$D$7:$D$1200,$A157,'Registro de Fichas'!$J$7:$J$1200),"")</f>
        <v/>
      </c>
      <c r="I157" s="38" t="str">
        <f aca="false">IF($C157=0,"",IF($C157&gt;=Parametros!$B$27,"OK","FALTAN "&amp;(Parametros!$B$27-$C157)))</f>
        <v/>
      </c>
      <c r="J157" s="38" t="str">
        <f aca="false">IF($C157=0,"",SUMIF('Registro de Fichas'!$D$7:$D$1200,$A157,'Registro de Fichas'!$M$7:$M$1200))</f>
        <v/>
      </c>
      <c r="K157" s="26" t="n">
        <f aca="false">COUNTIFS('Registro de Fichas'!$D$7:$D$1200,$A157,'Registro de Fichas'!$K$7:$K$1200,"Contenedores")</f>
        <v>0</v>
      </c>
      <c r="L157" s="26" t="n">
        <f aca="false">COUNTIFS('Registro de Fichas'!$D$7:$D$1200,$A157,'Registro de Fichas'!$K$7:$K$1200,"Granel solido")</f>
        <v>0</v>
      </c>
      <c r="M157" s="26" t="n">
        <f aca="false">COUNTIFS('Registro de Fichas'!$D$7:$D$1200,$A157,'Registro de Fichas'!$K$7:$K$1200,"Carga fraccionada")</f>
        <v>0</v>
      </c>
      <c r="N157" s="26" t="n">
        <f aca="false">COUNTIFS('Registro de Fichas'!$D$7:$D$1200,$A157,'Registro de Fichas'!$K$7:$K$1200,"Big bags")</f>
        <v>0</v>
      </c>
      <c r="O157" s="26" t="n">
        <f aca="false">COUNTIFS('Registro de Fichas'!$D$7:$D$1200,$A157,'Registro de Fichas'!$L$7:$L$1200,"Si")</f>
        <v>0</v>
      </c>
      <c r="P157" s="23" t="str">
        <f aca="false">IF($C157=0,"",IF($C157&lt;Parametros!$B$27,"EVIDENCIA INSUFICIENTE",IF(AND($D157&lt;&gt;"",$C157&lt;$D157*Parametros!$B$28),"BAJO % MUESTREO",IF($J157&lt;Parametros!$B$31,"POCOS EVALUADORES","VALIDA"))))</f>
        <v/>
      </c>
    </row>
    <row r="158" customFormat="false" ht="15" hidden="false" customHeight="true" outlineLevel="0" collapsed="false">
      <c r="A158" s="72"/>
      <c r="B158" s="16" t="str">
        <f aca="false">IFERROR(INDEX('Registro de Fichas'!$E$7:$E$1200,MATCH($A158,'Registro de Fichas'!$D$7:$D$1200,0)),"")</f>
        <v/>
      </c>
      <c r="C158" s="74" t="n">
        <f aca="false">COUNTIF('Registro de Fichas'!$D$7:$D$1200,$A158)</f>
        <v>0</v>
      </c>
      <c r="D158" s="72"/>
      <c r="E158" s="73" t="str">
        <f aca="false">IFERROR(AVERAGEIF('Registro de Fichas'!$D$7:$D$1200,$A158,'Registro de Fichas'!$G$7:$G$1200),"")</f>
        <v/>
      </c>
      <c r="F158" s="73" t="str">
        <f aca="false">IFERROR(AVERAGEIF('Registro de Fichas'!$D$7:$D$1200,$A158,'Registro de Fichas'!$H$7:$H$1200),"")</f>
        <v/>
      </c>
      <c r="G158" s="73" t="str">
        <f aca="false">IFERROR(AVERAGEIF('Registro de Fichas'!$D$7:$D$1200,$A158,'Registro de Fichas'!$I$7:$I$1200),"")</f>
        <v/>
      </c>
      <c r="H158" s="73" t="str">
        <f aca="false">IFERROR(AVERAGEIF('Registro de Fichas'!$D$7:$D$1200,$A158,'Registro de Fichas'!$J$7:$J$1200),"")</f>
        <v/>
      </c>
      <c r="I158" s="56" t="str">
        <f aca="false">IF($C158=0,"",IF($C158&gt;=Parametros!$B$27,"OK","FALTAN "&amp;(Parametros!$B$27-$C158)))</f>
        <v/>
      </c>
      <c r="J158" s="56" t="str">
        <f aca="false">IF($C158=0,"",SUMIF('Registro de Fichas'!$D$7:$D$1200,$A158,'Registro de Fichas'!$M$7:$M$1200))</f>
        <v/>
      </c>
      <c r="K158" s="74" t="n">
        <f aca="false">COUNTIFS('Registro de Fichas'!$D$7:$D$1200,$A158,'Registro de Fichas'!$K$7:$K$1200,"Contenedores")</f>
        <v>0</v>
      </c>
      <c r="L158" s="74" t="n">
        <f aca="false">COUNTIFS('Registro de Fichas'!$D$7:$D$1200,$A158,'Registro de Fichas'!$K$7:$K$1200,"Granel solido")</f>
        <v>0</v>
      </c>
      <c r="M158" s="74" t="n">
        <f aca="false">COUNTIFS('Registro de Fichas'!$D$7:$D$1200,$A158,'Registro de Fichas'!$K$7:$K$1200,"Carga fraccionada")</f>
        <v>0</v>
      </c>
      <c r="N158" s="74" t="n">
        <f aca="false">COUNTIFS('Registro de Fichas'!$D$7:$D$1200,$A158,'Registro de Fichas'!$K$7:$K$1200,"Big bags")</f>
        <v>0</v>
      </c>
      <c r="O158" s="74" t="n">
        <f aca="false">COUNTIFS('Registro de Fichas'!$D$7:$D$1200,$A158,'Registro de Fichas'!$L$7:$L$1200,"Si")</f>
        <v>0</v>
      </c>
      <c r="P158" s="75" t="str">
        <f aca="false">IF($C158=0,"",IF($C158&lt;Parametros!$B$27,"EVIDENCIA INSUFICIENTE",IF(AND($D158&lt;&gt;"",$C158&lt;$D158*Parametros!$B$28),"BAJO % MUESTREO",IF($J158&lt;Parametros!$B$31,"POCOS EVALUADORES","VALIDA"))))</f>
        <v/>
      </c>
    </row>
    <row r="159" customFormat="false" ht="15" hidden="false" customHeight="true" outlineLevel="0" collapsed="false">
      <c r="A159" s="72"/>
      <c r="B159" s="13" t="str">
        <f aca="false">IFERROR(INDEX('Registro de Fichas'!$E$7:$E$1200,MATCH($A159,'Registro de Fichas'!$D$7:$D$1200,0)),"")</f>
        <v/>
      </c>
      <c r="C159" s="26" t="n">
        <f aca="false">COUNTIF('Registro de Fichas'!$D$7:$D$1200,$A159)</f>
        <v>0</v>
      </c>
      <c r="D159" s="72"/>
      <c r="E159" s="73" t="str">
        <f aca="false">IFERROR(AVERAGEIF('Registro de Fichas'!$D$7:$D$1200,$A159,'Registro de Fichas'!$G$7:$G$1200),"")</f>
        <v/>
      </c>
      <c r="F159" s="73" t="str">
        <f aca="false">IFERROR(AVERAGEIF('Registro de Fichas'!$D$7:$D$1200,$A159,'Registro de Fichas'!$H$7:$H$1200),"")</f>
        <v/>
      </c>
      <c r="G159" s="73" t="str">
        <f aca="false">IFERROR(AVERAGEIF('Registro de Fichas'!$D$7:$D$1200,$A159,'Registro de Fichas'!$I$7:$I$1200),"")</f>
        <v/>
      </c>
      <c r="H159" s="73" t="str">
        <f aca="false">IFERROR(AVERAGEIF('Registro de Fichas'!$D$7:$D$1200,$A159,'Registro de Fichas'!$J$7:$J$1200),"")</f>
        <v/>
      </c>
      <c r="I159" s="38" t="str">
        <f aca="false">IF($C159=0,"",IF($C159&gt;=Parametros!$B$27,"OK","FALTAN "&amp;(Parametros!$B$27-$C159)))</f>
        <v/>
      </c>
      <c r="J159" s="38" t="str">
        <f aca="false">IF($C159=0,"",SUMIF('Registro de Fichas'!$D$7:$D$1200,$A159,'Registro de Fichas'!$M$7:$M$1200))</f>
        <v/>
      </c>
      <c r="K159" s="26" t="n">
        <f aca="false">COUNTIFS('Registro de Fichas'!$D$7:$D$1200,$A159,'Registro de Fichas'!$K$7:$K$1200,"Contenedores")</f>
        <v>0</v>
      </c>
      <c r="L159" s="26" t="n">
        <f aca="false">COUNTIFS('Registro de Fichas'!$D$7:$D$1200,$A159,'Registro de Fichas'!$K$7:$K$1200,"Granel solido")</f>
        <v>0</v>
      </c>
      <c r="M159" s="26" t="n">
        <f aca="false">COUNTIFS('Registro de Fichas'!$D$7:$D$1200,$A159,'Registro de Fichas'!$K$7:$K$1200,"Carga fraccionada")</f>
        <v>0</v>
      </c>
      <c r="N159" s="26" t="n">
        <f aca="false">COUNTIFS('Registro de Fichas'!$D$7:$D$1200,$A159,'Registro de Fichas'!$K$7:$K$1200,"Big bags")</f>
        <v>0</v>
      </c>
      <c r="O159" s="26" t="n">
        <f aca="false">COUNTIFS('Registro de Fichas'!$D$7:$D$1200,$A159,'Registro de Fichas'!$L$7:$L$1200,"Si")</f>
        <v>0</v>
      </c>
      <c r="P159" s="23" t="str">
        <f aca="false">IF($C159=0,"",IF($C159&lt;Parametros!$B$27,"EVIDENCIA INSUFICIENTE",IF(AND($D159&lt;&gt;"",$C159&lt;$D159*Parametros!$B$28),"BAJO % MUESTREO",IF($J159&lt;Parametros!$B$31,"POCOS EVALUADORES","VALIDA"))))</f>
        <v/>
      </c>
    </row>
    <row r="160" customFormat="false" ht="15" hidden="false" customHeight="true" outlineLevel="0" collapsed="false">
      <c r="A160" s="72"/>
      <c r="B160" s="16" t="str">
        <f aca="false">IFERROR(INDEX('Registro de Fichas'!$E$7:$E$1200,MATCH($A160,'Registro de Fichas'!$D$7:$D$1200,0)),"")</f>
        <v/>
      </c>
      <c r="C160" s="74" t="n">
        <f aca="false">COUNTIF('Registro de Fichas'!$D$7:$D$1200,$A160)</f>
        <v>0</v>
      </c>
      <c r="D160" s="72"/>
      <c r="E160" s="73" t="str">
        <f aca="false">IFERROR(AVERAGEIF('Registro de Fichas'!$D$7:$D$1200,$A160,'Registro de Fichas'!$G$7:$G$1200),"")</f>
        <v/>
      </c>
      <c r="F160" s="73" t="str">
        <f aca="false">IFERROR(AVERAGEIF('Registro de Fichas'!$D$7:$D$1200,$A160,'Registro de Fichas'!$H$7:$H$1200),"")</f>
        <v/>
      </c>
      <c r="G160" s="73" t="str">
        <f aca="false">IFERROR(AVERAGEIF('Registro de Fichas'!$D$7:$D$1200,$A160,'Registro de Fichas'!$I$7:$I$1200),"")</f>
        <v/>
      </c>
      <c r="H160" s="73" t="str">
        <f aca="false">IFERROR(AVERAGEIF('Registro de Fichas'!$D$7:$D$1200,$A160,'Registro de Fichas'!$J$7:$J$1200),"")</f>
        <v/>
      </c>
      <c r="I160" s="56" t="str">
        <f aca="false">IF($C160=0,"",IF($C160&gt;=Parametros!$B$27,"OK","FALTAN "&amp;(Parametros!$B$27-$C160)))</f>
        <v/>
      </c>
      <c r="J160" s="56" t="str">
        <f aca="false">IF($C160=0,"",SUMIF('Registro de Fichas'!$D$7:$D$1200,$A160,'Registro de Fichas'!$M$7:$M$1200))</f>
        <v/>
      </c>
      <c r="K160" s="74" t="n">
        <f aca="false">COUNTIFS('Registro de Fichas'!$D$7:$D$1200,$A160,'Registro de Fichas'!$K$7:$K$1200,"Contenedores")</f>
        <v>0</v>
      </c>
      <c r="L160" s="74" t="n">
        <f aca="false">COUNTIFS('Registro de Fichas'!$D$7:$D$1200,$A160,'Registro de Fichas'!$K$7:$K$1200,"Granel solido")</f>
        <v>0</v>
      </c>
      <c r="M160" s="74" t="n">
        <f aca="false">COUNTIFS('Registro de Fichas'!$D$7:$D$1200,$A160,'Registro de Fichas'!$K$7:$K$1200,"Carga fraccionada")</f>
        <v>0</v>
      </c>
      <c r="N160" s="74" t="n">
        <f aca="false">COUNTIFS('Registro de Fichas'!$D$7:$D$1200,$A160,'Registro de Fichas'!$K$7:$K$1200,"Big bags")</f>
        <v>0</v>
      </c>
      <c r="O160" s="74" t="n">
        <f aca="false">COUNTIFS('Registro de Fichas'!$D$7:$D$1200,$A160,'Registro de Fichas'!$L$7:$L$1200,"Si")</f>
        <v>0</v>
      </c>
      <c r="P160" s="75" t="str">
        <f aca="false">IF($C160=0,"",IF($C160&lt;Parametros!$B$27,"EVIDENCIA INSUFICIENTE",IF(AND($D160&lt;&gt;"",$C160&lt;$D160*Parametros!$B$28),"BAJO % MUESTREO",IF($J160&lt;Parametros!$B$31,"POCOS EVALUADORES","VALIDA"))))</f>
        <v/>
      </c>
    </row>
    <row r="161" customFormat="false" ht="15" hidden="false" customHeight="true" outlineLevel="0" collapsed="false">
      <c r="A161" s="72"/>
      <c r="B161" s="13" t="str">
        <f aca="false">IFERROR(INDEX('Registro de Fichas'!$E$7:$E$1200,MATCH($A161,'Registro de Fichas'!$D$7:$D$1200,0)),"")</f>
        <v/>
      </c>
      <c r="C161" s="26" t="n">
        <f aca="false">COUNTIF('Registro de Fichas'!$D$7:$D$1200,$A161)</f>
        <v>0</v>
      </c>
      <c r="D161" s="72"/>
      <c r="E161" s="73" t="str">
        <f aca="false">IFERROR(AVERAGEIF('Registro de Fichas'!$D$7:$D$1200,$A161,'Registro de Fichas'!$G$7:$G$1200),"")</f>
        <v/>
      </c>
      <c r="F161" s="73" t="str">
        <f aca="false">IFERROR(AVERAGEIF('Registro de Fichas'!$D$7:$D$1200,$A161,'Registro de Fichas'!$H$7:$H$1200),"")</f>
        <v/>
      </c>
      <c r="G161" s="73" t="str">
        <f aca="false">IFERROR(AVERAGEIF('Registro de Fichas'!$D$7:$D$1200,$A161,'Registro de Fichas'!$I$7:$I$1200),"")</f>
        <v/>
      </c>
      <c r="H161" s="73" t="str">
        <f aca="false">IFERROR(AVERAGEIF('Registro de Fichas'!$D$7:$D$1200,$A161,'Registro de Fichas'!$J$7:$J$1200),"")</f>
        <v/>
      </c>
      <c r="I161" s="38" t="str">
        <f aca="false">IF($C161=0,"",IF($C161&gt;=Parametros!$B$27,"OK","FALTAN "&amp;(Parametros!$B$27-$C161)))</f>
        <v/>
      </c>
      <c r="J161" s="38" t="str">
        <f aca="false">IF($C161=0,"",SUMIF('Registro de Fichas'!$D$7:$D$1200,$A161,'Registro de Fichas'!$M$7:$M$1200))</f>
        <v/>
      </c>
      <c r="K161" s="26" t="n">
        <f aca="false">COUNTIFS('Registro de Fichas'!$D$7:$D$1200,$A161,'Registro de Fichas'!$K$7:$K$1200,"Contenedores")</f>
        <v>0</v>
      </c>
      <c r="L161" s="26" t="n">
        <f aca="false">COUNTIFS('Registro de Fichas'!$D$7:$D$1200,$A161,'Registro de Fichas'!$K$7:$K$1200,"Granel solido")</f>
        <v>0</v>
      </c>
      <c r="M161" s="26" t="n">
        <f aca="false">COUNTIFS('Registro de Fichas'!$D$7:$D$1200,$A161,'Registro de Fichas'!$K$7:$K$1200,"Carga fraccionada")</f>
        <v>0</v>
      </c>
      <c r="N161" s="26" t="n">
        <f aca="false">COUNTIFS('Registro de Fichas'!$D$7:$D$1200,$A161,'Registro de Fichas'!$K$7:$K$1200,"Big bags")</f>
        <v>0</v>
      </c>
      <c r="O161" s="26" t="n">
        <f aca="false">COUNTIFS('Registro de Fichas'!$D$7:$D$1200,$A161,'Registro de Fichas'!$L$7:$L$1200,"Si")</f>
        <v>0</v>
      </c>
      <c r="P161" s="23" t="str">
        <f aca="false">IF($C161=0,"",IF($C161&lt;Parametros!$B$27,"EVIDENCIA INSUFICIENTE",IF(AND($D161&lt;&gt;"",$C161&lt;$D161*Parametros!$B$28),"BAJO % MUESTREO",IF($J161&lt;Parametros!$B$31,"POCOS EVALUADORES","VALIDA"))))</f>
        <v/>
      </c>
    </row>
    <row r="162" customFormat="false" ht="15" hidden="false" customHeight="true" outlineLevel="0" collapsed="false">
      <c r="A162" s="72"/>
      <c r="B162" s="16" t="str">
        <f aca="false">IFERROR(INDEX('Registro de Fichas'!$E$7:$E$1200,MATCH($A162,'Registro de Fichas'!$D$7:$D$1200,0)),"")</f>
        <v/>
      </c>
      <c r="C162" s="74" t="n">
        <f aca="false">COUNTIF('Registro de Fichas'!$D$7:$D$1200,$A162)</f>
        <v>0</v>
      </c>
      <c r="D162" s="72"/>
      <c r="E162" s="73" t="str">
        <f aca="false">IFERROR(AVERAGEIF('Registro de Fichas'!$D$7:$D$1200,$A162,'Registro de Fichas'!$G$7:$G$1200),"")</f>
        <v/>
      </c>
      <c r="F162" s="73" t="str">
        <f aca="false">IFERROR(AVERAGEIF('Registro de Fichas'!$D$7:$D$1200,$A162,'Registro de Fichas'!$H$7:$H$1200),"")</f>
        <v/>
      </c>
      <c r="G162" s="73" t="str">
        <f aca="false">IFERROR(AVERAGEIF('Registro de Fichas'!$D$7:$D$1200,$A162,'Registro de Fichas'!$I$7:$I$1200),"")</f>
        <v/>
      </c>
      <c r="H162" s="73" t="str">
        <f aca="false">IFERROR(AVERAGEIF('Registro de Fichas'!$D$7:$D$1200,$A162,'Registro de Fichas'!$J$7:$J$1200),"")</f>
        <v/>
      </c>
      <c r="I162" s="56" t="str">
        <f aca="false">IF($C162=0,"",IF($C162&gt;=Parametros!$B$27,"OK","FALTAN "&amp;(Parametros!$B$27-$C162)))</f>
        <v/>
      </c>
      <c r="J162" s="56" t="str">
        <f aca="false">IF($C162=0,"",SUMIF('Registro de Fichas'!$D$7:$D$1200,$A162,'Registro de Fichas'!$M$7:$M$1200))</f>
        <v/>
      </c>
      <c r="K162" s="74" t="n">
        <f aca="false">COUNTIFS('Registro de Fichas'!$D$7:$D$1200,$A162,'Registro de Fichas'!$K$7:$K$1200,"Contenedores")</f>
        <v>0</v>
      </c>
      <c r="L162" s="74" t="n">
        <f aca="false">COUNTIFS('Registro de Fichas'!$D$7:$D$1200,$A162,'Registro de Fichas'!$K$7:$K$1200,"Granel solido")</f>
        <v>0</v>
      </c>
      <c r="M162" s="74" t="n">
        <f aca="false">COUNTIFS('Registro de Fichas'!$D$7:$D$1200,$A162,'Registro de Fichas'!$K$7:$K$1200,"Carga fraccionada")</f>
        <v>0</v>
      </c>
      <c r="N162" s="74" t="n">
        <f aca="false">COUNTIFS('Registro de Fichas'!$D$7:$D$1200,$A162,'Registro de Fichas'!$K$7:$K$1200,"Big bags")</f>
        <v>0</v>
      </c>
      <c r="O162" s="74" t="n">
        <f aca="false">COUNTIFS('Registro de Fichas'!$D$7:$D$1200,$A162,'Registro de Fichas'!$L$7:$L$1200,"Si")</f>
        <v>0</v>
      </c>
      <c r="P162" s="75" t="str">
        <f aca="false">IF($C162=0,"",IF($C162&lt;Parametros!$B$27,"EVIDENCIA INSUFICIENTE",IF(AND($D162&lt;&gt;"",$C162&lt;$D162*Parametros!$B$28),"BAJO % MUESTREO",IF($J162&lt;Parametros!$B$31,"POCOS EVALUADORES","VALIDA"))))</f>
        <v/>
      </c>
    </row>
    <row r="163" customFormat="false" ht="15" hidden="false" customHeight="true" outlineLevel="0" collapsed="false">
      <c r="A163" s="72"/>
      <c r="B163" s="13" t="str">
        <f aca="false">IFERROR(INDEX('Registro de Fichas'!$E$7:$E$1200,MATCH($A163,'Registro de Fichas'!$D$7:$D$1200,0)),"")</f>
        <v/>
      </c>
      <c r="C163" s="26" t="n">
        <f aca="false">COUNTIF('Registro de Fichas'!$D$7:$D$1200,$A163)</f>
        <v>0</v>
      </c>
      <c r="D163" s="72"/>
      <c r="E163" s="73" t="str">
        <f aca="false">IFERROR(AVERAGEIF('Registro de Fichas'!$D$7:$D$1200,$A163,'Registro de Fichas'!$G$7:$G$1200),"")</f>
        <v/>
      </c>
      <c r="F163" s="73" t="str">
        <f aca="false">IFERROR(AVERAGEIF('Registro de Fichas'!$D$7:$D$1200,$A163,'Registro de Fichas'!$H$7:$H$1200),"")</f>
        <v/>
      </c>
      <c r="G163" s="73" t="str">
        <f aca="false">IFERROR(AVERAGEIF('Registro de Fichas'!$D$7:$D$1200,$A163,'Registro de Fichas'!$I$7:$I$1200),"")</f>
        <v/>
      </c>
      <c r="H163" s="73" t="str">
        <f aca="false">IFERROR(AVERAGEIF('Registro de Fichas'!$D$7:$D$1200,$A163,'Registro de Fichas'!$J$7:$J$1200),"")</f>
        <v/>
      </c>
      <c r="I163" s="38" t="str">
        <f aca="false">IF($C163=0,"",IF($C163&gt;=Parametros!$B$27,"OK","FALTAN "&amp;(Parametros!$B$27-$C163)))</f>
        <v/>
      </c>
      <c r="J163" s="38" t="str">
        <f aca="false">IF($C163=0,"",SUMIF('Registro de Fichas'!$D$7:$D$1200,$A163,'Registro de Fichas'!$M$7:$M$1200))</f>
        <v/>
      </c>
      <c r="K163" s="26" t="n">
        <f aca="false">COUNTIFS('Registro de Fichas'!$D$7:$D$1200,$A163,'Registro de Fichas'!$K$7:$K$1200,"Contenedores")</f>
        <v>0</v>
      </c>
      <c r="L163" s="26" t="n">
        <f aca="false">COUNTIFS('Registro de Fichas'!$D$7:$D$1200,$A163,'Registro de Fichas'!$K$7:$K$1200,"Granel solido")</f>
        <v>0</v>
      </c>
      <c r="M163" s="26" t="n">
        <f aca="false">COUNTIFS('Registro de Fichas'!$D$7:$D$1200,$A163,'Registro de Fichas'!$K$7:$K$1200,"Carga fraccionada")</f>
        <v>0</v>
      </c>
      <c r="N163" s="26" t="n">
        <f aca="false">COUNTIFS('Registro de Fichas'!$D$7:$D$1200,$A163,'Registro de Fichas'!$K$7:$K$1200,"Big bags")</f>
        <v>0</v>
      </c>
      <c r="O163" s="26" t="n">
        <f aca="false">COUNTIFS('Registro de Fichas'!$D$7:$D$1200,$A163,'Registro de Fichas'!$L$7:$L$1200,"Si")</f>
        <v>0</v>
      </c>
      <c r="P163" s="23" t="str">
        <f aca="false">IF($C163=0,"",IF($C163&lt;Parametros!$B$27,"EVIDENCIA INSUFICIENTE",IF(AND($D163&lt;&gt;"",$C163&lt;$D163*Parametros!$B$28),"BAJO % MUESTREO",IF($J163&lt;Parametros!$B$31,"POCOS EVALUADORES","VALIDA"))))</f>
        <v/>
      </c>
    </row>
    <row r="164" customFormat="false" ht="15" hidden="false" customHeight="true" outlineLevel="0" collapsed="false">
      <c r="A164" s="72"/>
      <c r="B164" s="16" t="str">
        <f aca="false">IFERROR(INDEX('Registro de Fichas'!$E$7:$E$1200,MATCH($A164,'Registro de Fichas'!$D$7:$D$1200,0)),"")</f>
        <v/>
      </c>
      <c r="C164" s="74" t="n">
        <f aca="false">COUNTIF('Registro de Fichas'!$D$7:$D$1200,$A164)</f>
        <v>0</v>
      </c>
      <c r="D164" s="72"/>
      <c r="E164" s="73" t="str">
        <f aca="false">IFERROR(AVERAGEIF('Registro de Fichas'!$D$7:$D$1200,$A164,'Registro de Fichas'!$G$7:$G$1200),"")</f>
        <v/>
      </c>
      <c r="F164" s="73" t="str">
        <f aca="false">IFERROR(AVERAGEIF('Registro de Fichas'!$D$7:$D$1200,$A164,'Registro de Fichas'!$H$7:$H$1200),"")</f>
        <v/>
      </c>
      <c r="G164" s="73" t="str">
        <f aca="false">IFERROR(AVERAGEIF('Registro de Fichas'!$D$7:$D$1200,$A164,'Registro de Fichas'!$I$7:$I$1200),"")</f>
        <v/>
      </c>
      <c r="H164" s="73" t="str">
        <f aca="false">IFERROR(AVERAGEIF('Registro de Fichas'!$D$7:$D$1200,$A164,'Registro de Fichas'!$J$7:$J$1200),"")</f>
        <v/>
      </c>
      <c r="I164" s="56" t="str">
        <f aca="false">IF($C164=0,"",IF($C164&gt;=Parametros!$B$27,"OK","FALTAN "&amp;(Parametros!$B$27-$C164)))</f>
        <v/>
      </c>
      <c r="J164" s="56" t="str">
        <f aca="false">IF($C164=0,"",SUMIF('Registro de Fichas'!$D$7:$D$1200,$A164,'Registro de Fichas'!$M$7:$M$1200))</f>
        <v/>
      </c>
      <c r="K164" s="74" t="n">
        <f aca="false">COUNTIFS('Registro de Fichas'!$D$7:$D$1200,$A164,'Registro de Fichas'!$K$7:$K$1200,"Contenedores")</f>
        <v>0</v>
      </c>
      <c r="L164" s="74" t="n">
        <f aca="false">COUNTIFS('Registro de Fichas'!$D$7:$D$1200,$A164,'Registro de Fichas'!$K$7:$K$1200,"Granel solido")</f>
        <v>0</v>
      </c>
      <c r="M164" s="74" t="n">
        <f aca="false">COUNTIFS('Registro de Fichas'!$D$7:$D$1200,$A164,'Registro de Fichas'!$K$7:$K$1200,"Carga fraccionada")</f>
        <v>0</v>
      </c>
      <c r="N164" s="74" t="n">
        <f aca="false">COUNTIFS('Registro de Fichas'!$D$7:$D$1200,$A164,'Registro de Fichas'!$K$7:$K$1200,"Big bags")</f>
        <v>0</v>
      </c>
      <c r="O164" s="74" t="n">
        <f aca="false">COUNTIFS('Registro de Fichas'!$D$7:$D$1200,$A164,'Registro de Fichas'!$L$7:$L$1200,"Si")</f>
        <v>0</v>
      </c>
      <c r="P164" s="75" t="str">
        <f aca="false">IF($C164=0,"",IF($C164&lt;Parametros!$B$27,"EVIDENCIA INSUFICIENTE",IF(AND($D164&lt;&gt;"",$C164&lt;$D164*Parametros!$B$28),"BAJO % MUESTREO",IF($J164&lt;Parametros!$B$31,"POCOS EVALUADORES","VALIDA"))))</f>
        <v/>
      </c>
    </row>
    <row r="165" customFormat="false" ht="15" hidden="false" customHeight="true" outlineLevel="0" collapsed="false">
      <c r="A165" s="72"/>
      <c r="B165" s="13" t="str">
        <f aca="false">IFERROR(INDEX('Registro de Fichas'!$E$7:$E$1200,MATCH($A165,'Registro de Fichas'!$D$7:$D$1200,0)),"")</f>
        <v/>
      </c>
      <c r="C165" s="26" t="n">
        <f aca="false">COUNTIF('Registro de Fichas'!$D$7:$D$1200,$A165)</f>
        <v>0</v>
      </c>
      <c r="D165" s="72"/>
      <c r="E165" s="73" t="str">
        <f aca="false">IFERROR(AVERAGEIF('Registro de Fichas'!$D$7:$D$1200,$A165,'Registro de Fichas'!$G$7:$G$1200),"")</f>
        <v/>
      </c>
      <c r="F165" s="73" t="str">
        <f aca="false">IFERROR(AVERAGEIF('Registro de Fichas'!$D$7:$D$1200,$A165,'Registro de Fichas'!$H$7:$H$1200),"")</f>
        <v/>
      </c>
      <c r="G165" s="73" t="str">
        <f aca="false">IFERROR(AVERAGEIF('Registro de Fichas'!$D$7:$D$1200,$A165,'Registro de Fichas'!$I$7:$I$1200),"")</f>
        <v/>
      </c>
      <c r="H165" s="73" t="str">
        <f aca="false">IFERROR(AVERAGEIF('Registro de Fichas'!$D$7:$D$1200,$A165,'Registro de Fichas'!$J$7:$J$1200),"")</f>
        <v/>
      </c>
      <c r="I165" s="38" t="str">
        <f aca="false">IF($C165=0,"",IF($C165&gt;=Parametros!$B$27,"OK","FALTAN "&amp;(Parametros!$B$27-$C165)))</f>
        <v/>
      </c>
      <c r="J165" s="38" t="str">
        <f aca="false">IF($C165=0,"",SUMIF('Registro de Fichas'!$D$7:$D$1200,$A165,'Registro de Fichas'!$M$7:$M$1200))</f>
        <v/>
      </c>
      <c r="K165" s="26" t="n">
        <f aca="false">COUNTIFS('Registro de Fichas'!$D$7:$D$1200,$A165,'Registro de Fichas'!$K$7:$K$1200,"Contenedores")</f>
        <v>0</v>
      </c>
      <c r="L165" s="26" t="n">
        <f aca="false">COUNTIFS('Registro de Fichas'!$D$7:$D$1200,$A165,'Registro de Fichas'!$K$7:$K$1200,"Granel solido")</f>
        <v>0</v>
      </c>
      <c r="M165" s="26" t="n">
        <f aca="false">COUNTIFS('Registro de Fichas'!$D$7:$D$1200,$A165,'Registro de Fichas'!$K$7:$K$1200,"Carga fraccionada")</f>
        <v>0</v>
      </c>
      <c r="N165" s="26" t="n">
        <f aca="false">COUNTIFS('Registro de Fichas'!$D$7:$D$1200,$A165,'Registro de Fichas'!$K$7:$K$1200,"Big bags")</f>
        <v>0</v>
      </c>
      <c r="O165" s="26" t="n">
        <f aca="false">COUNTIFS('Registro de Fichas'!$D$7:$D$1200,$A165,'Registro de Fichas'!$L$7:$L$1200,"Si")</f>
        <v>0</v>
      </c>
      <c r="P165" s="23" t="str">
        <f aca="false">IF($C165=0,"",IF($C165&lt;Parametros!$B$27,"EVIDENCIA INSUFICIENTE",IF(AND($D165&lt;&gt;"",$C165&lt;$D165*Parametros!$B$28),"BAJO % MUESTREO",IF($J165&lt;Parametros!$B$31,"POCOS EVALUADORES","VALIDA"))))</f>
        <v/>
      </c>
    </row>
    <row r="166" customFormat="false" ht="15" hidden="false" customHeight="true" outlineLevel="0" collapsed="false">
      <c r="A166" s="72"/>
      <c r="B166" s="16" t="str">
        <f aca="false">IFERROR(INDEX('Registro de Fichas'!$E$7:$E$1200,MATCH($A166,'Registro de Fichas'!$D$7:$D$1200,0)),"")</f>
        <v/>
      </c>
      <c r="C166" s="74" t="n">
        <f aca="false">COUNTIF('Registro de Fichas'!$D$7:$D$1200,$A166)</f>
        <v>0</v>
      </c>
      <c r="D166" s="72"/>
      <c r="E166" s="73" t="str">
        <f aca="false">IFERROR(AVERAGEIF('Registro de Fichas'!$D$7:$D$1200,$A166,'Registro de Fichas'!$G$7:$G$1200),"")</f>
        <v/>
      </c>
      <c r="F166" s="73" t="str">
        <f aca="false">IFERROR(AVERAGEIF('Registro de Fichas'!$D$7:$D$1200,$A166,'Registro de Fichas'!$H$7:$H$1200),"")</f>
        <v/>
      </c>
      <c r="G166" s="73" t="str">
        <f aca="false">IFERROR(AVERAGEIF('Registro de Fichas'!$D$7:$D$1200,$A166,'Registro de Fichas'!$I$7:$I$1200),"")</f>
        <v/>
      </c>
      <c r="H166" s="73" t="str">
        <f aca="false">IFERROR(AVERAGEIF('Registro de Fichas'!$D$7:$D$1200,$A166,'Registro de Fichas'!$J$7:$J$1200),"")</f>
        <v/>
      </c>
      <c r="I166" s="56" t="str">
        <f aca="false">IF($C166=0,"",IF($C166&gt;=Parametros!$B$27,"OK","FALTAN "&amp;(Parametros!$B$27-$C166)))</f>
        <v/>
      </c>
      <c r="J166" s="56" t="str">
        <f aca="false">IF($C166=0,"",SUMIF('Registro de Fichas'!$D$7:$D$1200,$A166,'Registro de Fichas'!$M$7:$M$1200))</f>
        <v/>
      </c>
      <c r="K166" s="74" t="n">
        <f aca="false">COUNTIFS('Registro de Fichas'!$D$7:$D$1200,$A166,'Registro de Fichas'!$K$7:$K$1200,"Contenedores")</f>
        <v>0</v>
      </c>
      <c r="L166" s="74" t="n">
        <f aca="false">COUNTIFS('Registro de Fichas'!$D$7:$D$1200,$A166,'Registro de Fichas'!$K$7:$K$1200,"Granel solido")</f>
        <v>0</v>
      </c>
      <c r="M166" s="74" t="n">
        <f aca="false">COUNTIFS('Registro de Fichas'!$D$7:$D$1200,$A166,'Registro de Fichas'!$K$7:$K$1200,"Carga fraccionada")</f>
        <v>0</v>
      </c>
      <c r="N166" s="74" t="n">
        <f aca="false">COUNTIFS('Registro de Fichas'!$D$7:$D$1200,$A166,'Registro de Fichas'!$K$7:$K$1200,"Big bags")</f>
        <v>0</v>
      </c>
      <c r="O166" s="74" t="n">
        <f aca="false">COUNTIFS('Registro de Fichas'!$D$7:$D$1200,$A166,'Registro de Fichas'!$L$7:$L$1200,"Si")</f>
        <v>0</v>
      </c>
      <c r="P166" s="75" t="str">
        <f aca="false">IF($C166=0,"",IF($C166&lt;Parametros!$B$27,"EVIDENCIA INSUFICIENTE",IF(AND($D166&lt;&gt;"",$C166&lt;$D166*Parametros!$B$28),"BAJO % MUESTREO",IF($J166&lt;Parametros!$B$31,"POCOS EVALUADORES","VALIDA"))))</f>
        <v/>
      </c>
    </row>
    <row r="167" customFormat="false" ht="15" hidden="false" customHeight="true" outlineLevel="0" collapsed="false">
      <c r="A167" s="72"/>
      <c r="B167" s="13" t="str">
        <f aca="false">IFERROR(INDEX('Registro de Fichas'!$E$7:$E$1200,MATCH($A167,'Registro de Fichas'!$D$7:$D$1200,0)),"")</f>
        <v/>
      </c>
      <c r="C167" s="26" t="n">
        <f aca="false">COUNTIF('Registro de Fichas'!$D$7:$D$1200,$A167)</f>
        <v>0</v>
      </c>
      <c r="D167" s="72"/>
      <c r="E167" s="73" t="str">
        <f aca="false">IFERROR(AVERAGEIF('Registro de Fichas'!$D$7:$D$1200,$A167,'Registro de Fichas'!$G$7:$G$1200),"")</f>
        <v/>
      </c>
      <c r="F167" s="73" t="str">
        <f aca="false">IFERROR(AVERAGEIF('Registro de Fichas'!$D$7:$D$1200,$A167,'Registro de Fichas'!$H$7:$H$1200),"")</f>
        <v/>
      </c>
      <c r="G167" s="73" t="str">
        <f aca="false">IFERROR(AVERAGEIF('Registro de Fichas'!$D$7:$D$1200,$A167,'Registro de Fichas'!$I$7:$I$1200),"")</f>
        <v/>
      </c>
      <c r="H167" s="73" t="str">
        <f aca="false">IFERROR(AVERAGEIF('Registro de Fichas'!$D$7:$D$1200,$A167,'Registro de Fichas'!$J$7:$J$1200),"")</f>
        <v/>
      </c>
      <c r="I167" s="38" t="str">
        <f aca="false">IF($C167=0,"",IF($C167&gt;=Parametros!$B$27,"OK","FALTAN "&amp;(Parametros!$B$27-$C167)))</f>
        <v/>
      </c>
      <c r="J167" s="38" t="str">
        <f aca="false">IF($C167=0,"",SUMIF('Registro de Fichas'!$D$7:$D$1200,$A167,'Registro de Fichas'!$M$7:$M$1200))</f>
        <v/>
      </c>
      <c r="K167" s="26" t="n">
        <f aca="false">COUNTIFS('Registro de Fichas'!$D$7:$D$1200,$A167,'Registro de Fichas'!$K$7:$K$1200,"Contenedores")</f>
        <v>0</v>
      </c>
      <c r="L167" s="26" t="n">
        <f aca="false">COUNTIFS('Registro de Fichas'!$D$7:$D$1200,$A167,'Registro de Fichas'!$K$7:$K$1200,"Granel solido")</f>
        <v>0</v>
      </c>
      <c r="M167" s="26" t="n">
        <f aca="false">COUNTIFS('Registro de Fichas'!$D$7:$D$1200,$A167,'Registro de Fichas'!$K$7:$K$1200,"Carga fraccionada")</f>
        <v>0</v>
      </c>
      <c r="N167" s="26" t="n">
        <f aca="false">COUNTIFS('Registro de Fichas'!$D$7:$D$1200,$A167,'Registro de Fichas'!$K$7:$K$1200,"Big bags")</f>
        <v>0</v>
      </c>
      <c r="O167" s="26" t="n">
        <f aca="false">COUNTIFS('Registro de Fichas'!$D$7:$D$1200,$A167,'Registro de Fichas'!$L$7:$L$1200,"Si")</f>
        <v>0</v>
      </c>
      <c r="P167" s="23" t="str">
        <f aca="false">IF($C167=0,"",IF($C167&lt;Parametros!$B$27,"EVIDENCIA INSUFICIENTE",IF(AND($D167&lt;&gt;"",$C167&lt;$D167*Parametros!$B$28),"BAJO % MUESTREO",IF($J167&lt;Parametros!$B$31,"POCOS EVALUADORES","VALIDA"))))</f>
        <v/>
      </c>
    </row>
    <row r="168" customFormat="false" ht="15" hidden="false" customHeight="true" outlineLevel="0" collapsed="false">
      <c r="A168" s="72"/>
      <c r="B168" s="16" t="str">
        <f aca="false">IFERROR(INDEX('Registro de Fichas'!$E$7:$E$1200,MATCH($A168,'Registro de Fichas'!$D$7:$D$1200,0)),"")</f>
        <v/>
      </c>
      <c r="C168" s="74" t="n">
        <f aca="false">COUNTIF('Registro de Fichas'!$D$7:$D$1200,$A168)</f>
        <v>0</v>
      </c>
      <c r="D168" s="72"/>
      <c r="E168" s="73" t="str">
        <f aca="false">IFERROR(AVERAGEIF('Registro de Fichas'!$D$7:$D$1200,$A168,'Registro de Fichas'!$G$7:$G$1200),"")</f>
        <v/>
      </c>
      <c r="F168" s="73" t="str">
        <f aca="false">IFERROR(AVERAGEIF('Registro de Fichas'!$D$7:$D$1200,$A168,'Registro de Fichas'!$H$7:$H$1200),"")</f>
        <v/>
      </c>
      <c r="G168" s="73" t="str">
        <f aca="false">IFERROR(AVERAGEIF('Registro de Fichas'!$D$7:$D$1200,$A168,'Registro de Fichas'!$I$7:$I$1200),"")</f>
        <v/>
      </c>
      <c r="H168" s="73" t="str">
        <f aca="false">IFERROR(AVERAGEIF('Registro de Fichas'!$D$7:$D$1200,$A168,'Registro de Fichas'!$J$7:$J$1200),"")</f>
        <v/>
      </c>
      <c r="I168" s="56" t="str">
        <f aca="false">IF($C168=0,"",IF($C168&gt;=Parametros!$B$27,"OK","FALTAN "&amp;(Parametros!$B$27-$C168)))</f>
        <v/>
      </c>
      <c r="J168" s="56" t="str">
        <f aca="false">IF($C168=0,"",SUMIF('Registro de Fichas'!$D$7:$D$1200,$A168,'Registro de Fichas'!$M$7:$M$1200))</f>
        <v/>
      </c>
      <c r="K168" s="74" t="n">
        <f aca="false">COUNTIFS('Registro de Fichas'!$D$7:$D$1200,$A168,'Registro de Fichas'!$K$7:$K$1200,"Contenedores")</f>
        <v>0</v>
      </c>
      <c r="L168" s="74" t="n">
        <f aca="false">COUNTIFS('Registro de Fichas'!$D$7:$D$1200,$A168,'Registro de Fichas'!$K$7:$K$1200,"Granel solido")</f>
        <v>0</v>
      </c>
      <c r="M168" s="74" t="n">
        <f aca="false">COUNTIFS('Registro de Fichas'!$D$7:$D$1200,$A168,'Registro de Fichas'!$K$7:$K$1200,"Carga fraccionada")</f>
        <v>0</v>
      </c>
      <c r="N168" s="74" t="n">
        <f aca="false">COUNTIFS('Registro de Fichas'!$D$7:$D$1200,$A168,'Registro de Fichas'!$K$7:$K$1200,"Big bags")</f>
        <v>0</v>
      </c>
      <c r="O168" s="74" t="n">
        <f aca="false">COUNTIFS('Registro de Fichas'!$D$7:$D$1200,$A168,'Registro de Fichas'!$L$7:$L$1200,"Si")</f>
        <v>0</v>
      </c>
      <c r="P168" s="75" t="str">
        <f aca="false">IF($C168=0,"",IF($C168&lt;Parametros!$B$27,"EVIDENCIA INSUFICIENTE",IF(AND($D168&lt;&gt;"",$C168&lt;$D168*Parametros!$B$28),"BAJO % MUESTREO",IF($J168&lt;Parametros!$B$31,"POCOS EVALUADORES","VALIDA"))))</f>
        <v/>
      </c>
    </row>
    <row r="169" customFormat="false" ht="15" hidden="false" customHeight="true" outlineLevel="0" collapsed="false">
      <c r="A169" s="72"/>
      <c r="B169" s="13" t="str">
        <f aca="false">IFERROR(INDEX('Registro de Fichas'!$E$7:$E$1200,MATCH($A169,'Registro de Fichas'!$D$7:$D$1200,0)),"")</f>
        <v/>
      </c>
      <c r="C169" s="26" t="n">
        <f aca="false">COUNTIF('Registro de Fichas'!$D$7:$D$1200,$A169)</f>
        <v>0</v>
      </c>
      <c r="D169" s="72"/>
      <c r="E169" s="73" t="str">
        <f aca="false">IFERROR(AVERAGEIF('Registro de Fichas'!$D$7:$D$1200,$A169,'Registro de Fichas'!$G$7:$G$1200),"")</f>
        <v/>
      </c>
      <c r="F169" s="73" t="str">
        <f aca="false">IFERROR(AVERAGEIF('Registro de Fichas'!$D$7:$D$1200,$A169,'Registro de Fichas'!$H$7:$H$1200),"")</f>
        <v/>
      </c>
      <c r="G169" s="73" t="str">
        <f aca="false">IFERROR(AVERAGEIF('Registro de Fichas'!$D$7:$D$1200,$A169,'Registro de Fichas'!$I$7:$I$1200),"")</f>
        <v/>
      </c>
      <c r="H169" s="73" t="str">
        <f aca="false">IFERROR(AVERAGEIF('Registro de Fichas'!$D$7:$D$1200,$A169,'Registro de Fichas'!$J$7:$J$1200),"")</f>
        <v/>
      </c>
      <c r="I169" s="38" t="str">
        <f aca="false">IF($C169=0,"",IF($C169&gt;=Parametros!$B$27,"OK","FALTAN "&amp;(Parametros!$B$27-$C169)))</f>
        <v/>
      </c>
      <c r="J169" s="38" t="str">
        <f aca="false">IF($C169=0,"",SUMIF('Registro de Fichas'!$D$7:$D$1200,$A169,'Registro de Fichas'!$M$7:$M$1200))</f>
        <v/>
      </c>
      <c r="K169" s="26" t="n">
        <f aca="false">COUNTIFS('Registro de Fichas'!$D$7:$D$1200,$A169,'Registro de Fichas'!$K$7:$K$1200,"Contenedores")</f>
        <v>0</v>
      </c>
      <c r="L169" s="26" t="n">
        <f aca="false">COUNTIFS('Registro de Fichas'!$D$7:$D$1200,$A169,'Registro de Fichas'!$K$7:$K$1200,"Granel solido")</f>
        <v>0</v>
      </c>
      <c r="M169" s="26" t="n">
        <f aca="false">COUNTIFS('Registro de Fichas'!$D$7:$D$1200,$A169,'Registro de Fichas'!$K$7:$K$1200,"Carga fraccionada")</f>
        <v>0</v>
      </c>
      <c r="N169" s="26" t="n">
        <f aca="false">COUNTIFS('Registro de Fichas'!$D$7:$D$1200,$A169,'Registro de Fichas'!$K$7:$K$1200,"Big bags")</f>
        <v>0</v>
      </c>
      <c r="O169" s="26" t="n">
        <f aca="false">COUNTIFS('Registro de Fichas'!$D$7:$D$1200,$A169,'Registro de Fichas'!$L$7:$L$1200,"Si")</f>
        <v>0</v>
      </c>
      <c r="P169" s="23" t="str">
        <f aca="false">IF($C169=0,"",IF($C169&lt;Parametros!$B$27,"EVIDENCIA INSUFICIENTE",IF(AND($D169&lt;&gt;"",$C169&lt;$D169*Parametros!$B$28),"BAJO % MUESTREO",IF($J169&lt;Parametros!$B$31,"POCOS EVALUADORES","VALIDA"))))</f>
        <v/>
      </c>
    </row>
    <row r="170" customFormat="false" ht="15" hidden="false" customHeight="true" outlineLevel="0" collapsed="false">
      <c r="A170" s="72"/>
      <c r="B170" s="16" t="str">
        <f aca="false">IFERROR(INDEX('Registro de Fichas'!$E$7:$E$1200,MATCH($A170,'Registro de Fichas'!$D$7:$D$1200,0)),"")</f>
        <v/>
      </c>
      <c r="C170" s="74" t="n">
        <f aca="false">COUNTIF('Registro de Fichas'!$D$7:$D$1200,$A170)</f>
        <v>0</v>
      </c>
      <c r="D170" s="72"/>
      <c r="E170" s="73" t="str">
        <f aca="false">IFERROR(AVERAGEIF('Registro de Fichas'!$D$7:$D$1200,$A170,'Registro de Fichas'!$G$7:$G$1200),"")</f>
        <v/>
      </c>
      <c r="F170" s="73" t="str">
        <f aca="false">IFERROR(AVERAGEIF('Registro de Fichas'!$D$7:$D$1200,$A170,'Registro de Fichas'!$H$7:$H$1200),"")</f>
        <v/>
      </c>
      <c r="G170" s="73" t="str">
        <f aca="false">IFERROR(AVERAGEIF('Registro de Fichas'!$D$7:$D$1200,$A170,'Registro de Fichas'!$I$7:$I$1200),"")</f>
        <v/>
      </c>
      <c r="H170" s="73" t="str">
        <f aca="false">IFERROR(AVERAGEIF('Registro de Fichas'!$D$7:$D$1200,$A170,'Registro de Fichas'!$J$7:$J$1200),"")</f>
        <v/>
      </c>
      <c r="I170" s="56" t="str">
        <f aca="false">IF($C170=0,"",IF($C170&gt;=Parametros!$B$27,"OK","FALTAN "&amp;(Parametros!$B$27-$C170)))</f>
        <v/>
      </c>
      <c r="J170" s="56" t="str">
        <f aca="false">IF($C170=0,"",SUMIF('Registro de Fichas'!$D$7:$D$1200,$A170,'Registro de Fichas'!$M$7:$M$1200))</f>
        <v/>
      </c>
      <c r="K170" s="74" t="n">
        <f aca="false">COUNTIFS('Registro de Fichas'!$D$7:$D$1200,$A170,'Registro de Fichas'!$K$7:$K$1200,"Contenedores")</f>
        <v>0</v>
      </c>
      <c r="L170" s="74" t="n">
        <f aca="false">COUNTIFS('Registro de Fichas'!$D$7:$D$1200,$A170,'Registro de Fichas'!$K$7:$K$1200,"Granel solido")</f>
        <v>0</v>
      </c>
      <c r="M170" s="74" t="n">
        <f aca="false">COUNTIFS('Registro de Fichas'!$D$7:$D$1200,$A170,'Registro de Fichas'!$K$7:$K$1200,"Carga fraccionada")</f>
        <v>0</v>
      </c>
      <c r="N170" s="74" t="n">
        <f aca="false">COUNTIFS('Registro de Fichas'!$D$7:$D$1200,$A170,'Registro de Fichas'!$K$7:$K$1200,"Big bags")</f>
        <v>0</v>
      </c>
      <c r="O170" s="74" t="n">
        <f aca="false">COUNTIFS('Registro de Fichas'!$D$7:$D$1200,$A170,'Registro de Fichas'!$L$7:$L$1200,"Si")</f>
        <v>0</v>
      </c>
      <c r="P170" s="75" t="str">
        <f aca="false">IF($C170=0,"",IF($C170&lt;Parametros!$B$27,"EVIDENCIA INSUFICIENTE",IF(AND($D170&lt;&gt;"",$C170&lt;$D170*Parametros!$B$28),"BAJO % MUESTREO",IF($J170&lt;Parametros!$B$31,"POCOS EVALUADORES","VALIDA"))))</f>
        <v/>
      </c>
    </row>
    <row r="171" customFormat="false" ht="15" hidden="false" customHeight="true" outlineLevel="0" collapsed="false">
      <c r="A171" s="72"/>
      <c r="B171" s="13" t="str">
        <f aca="false">IFERROR(INDEX('Registro de Fichas'!$E$7:$E$1200,MATCH($A171,'Registro de Fichas'!$D$7:$D$1200,0)),"")</f>
        <v/>
      </c>
      <c r="C171" s="26" t="n">
        <f aca="false">COUNTIF('Registro de Fichas'!$D$7:$D$1200,$A171)</f>
        <v>0</v>
      </c>
      <c r="D171" s="72"/>
      <c r="E171" s="73" t="str">
        <f aca="false">IFERROR(AVERAGEIF('Registro de Fichas'!$D$7:$D$1200,$A171,'Registro de Fichas'!$G$7:$G$1200),"")</f>
        <v/>
      </c>
      <c r="F171" s="73" t="str">
        <f aca="false">IFERROR(AVERAGEIF('Registro de Fichas'!$D$7:$D$1200,$A171,'Registro de Fichas'!$H$7:$H$1200),"")</f>
        <v/>
      </c>
      <c r="G171" s="73" t="str">
        <f aca="false">IFERROR(AVERAGEIF('Registro de Fichas'!$D$7:$D$1200,$A171,'Registro de Fichas'!$I$7:$I$1200),"")</f>
        <v/>
      </c>
      <c r="H171" s="73" t="str">
        <f aca="false">IFERROR(AVERAGEIF('Registro de Fichas'!$D$7:$D$1200,$A171,'Registro de Fichas'!$J$7:$J$1200),"")</f>
        <v/>
      </c>
      <c r="I171" s="38" t="str">
        <f aca="false">IF($C171=0,"",IF($C171&gt;=Parametros!$B$27,"OK","FALTAN "&amp;(Parametros!$B$27-$C171)))</f>
        <v/>
      </c>
      <c r="J171" s="38" t="str">
        <f aca="false">IF($C171=0,"",SUMIF('Registro de Fichas'!$D$7:$D$1200,$A171,'Registro de Fichas'!$M$7:$M$1200))</f>
        <v/>
      </c>
      <c r="K171" s="26" t="n">
        <f aca="false">COUNTIFS('Registro de Fichas'!$D$7:$D$1200,$A171,'Registro de Fichas'!$K$7:$K$1200,"Contenedores")</f>
        <v>0</v>
      </c>
      <c r="L171" s="26" t="n">
        <f aca="false">COUNTIFS('Registro de Fichas'!$D$7:$D$1200,$A171,'Registro de Fichas'!$K$7:$K$1200,"Granel solido")</f>
        <v>0</v>
      </c>
      <c r="M171" s="26" t="n">
        <f aca="false">COUNTIFS('Registro de Fichas'!$D$7:$D$1200,$A171,'Registro de Fichas'!$K$7:$K$1200,"Carga fraccionada")</f>
        <v>0</v>
      </c>
      <c r="N171" s="26" t="n">
        <f aca="false">COUNTIFS('Registro de Fichas'!$D$7:$D$1200,$A171,'Registro de Fichas'!$K$7:$K$1200,"Big bags")</f>
        <v>0</v>
      </c>
      <c r="O171" s="26" t="n">
        <f aca="false">COUNTIFS('Registro de Fichas'!$D$7:$D$1200,$A171,'Registro de Fichas'!$L$7:$L$1200,"Si")</f>
        <v>0</v>
      </c>
      <c r="P171" s="23" t="str">
        <f aca="false">IF($C171=0,"",IF($C171&lt;Parametros!$B$27,"EVIDENCIA INSUFICIENTE",IF(AND($D171&lt;&gt;"",$C171&lt;$D171*Parametros!$B$28),"BAJO % MUESTREO",IF($J171&lt;Parametros!$B$31,"POCOS EVALUADORES","VALIDA"))))</f>
        <v/>
      </c>
    </row>
    <row r="172" customFormat="false" ht="15" hidden="false" customHeight="true" outlineLevel="0" collapsed="false">
      <c r="A172" s="72"/>
      <c r="B172" s="16" t="str">
        <f aca="false">IFERROR(INDEX('Registro de Fichas'!$E$7:$E$1200,MATCH($A172,'Registro de Fichas'!$D$7:$D$1200,0)),"")</f>
        <v/>
      </c>
      <c r="C172" s="74" t="n">
        <f aca="false">COUNTIF('Registro de Fichas'!$D$7:$D$1200,$A172)</f>
        <v>0</v>
      </c>
      <c r="D172" s="72"/>
      <c r="E172" s="73" t="str">
        <f aca="false">IFERROR(AVERAGEIF('Registro de Fichas'!$D$7:$D$1200,$A172,'Registro de Fichas'!$G$7:$G$1200),"")</f>
        <v/>
      </c>
      <c r="F172" s="73" t="str">
        <f aca="false">IFERROR(AVERAGEIF('Registro de Fichas'!$D$7:$D$1200,$A172,'Registro de Fichas'!$H$7:$H$1200),"")</f>
        <v/>
      </c>
      <c r="G172" s="73" t="str">
        <f aca="false">IFERROR(AVERAGEIF('Registro de Fichas'!$D$7:$D$1200,$A172,'Registro de Fichas'!$I$7:$I$1200),"")</f>
        <v/>
      </c>
      <c r="H172" s="73" t="str">
        <f aca="false">IFERROR(AVERAGEIF('Registro de Fichas'!$D$7:$D$1200,$A172,'Registro de Fichas'!$J$7:$J$1200),"")</f>
        <v/>
      </c>
      <c r="I172" s="56" t="str">
        <f aca="false">IF($C172=0,"",IF($C172&gt;=Parametros!$B$27,"OK","FALTAN "&amp;(Parametros!$B$27-$C172)))</f>
        <v/>
      </c>
      <c r="J172" s="56" t="str">
        <f aca="false">IF($C172=0,"",SUMIF('Registro de Fichas'!$D$7:$D$1200,$A172,'Registro de Fichas'!$M$7:$M$1200))</f>
        <v/>
      </c>
      <c r="K172" s="74" t="n">
        <f aca="false">COUNTIFS('Registro de Fichas'!$D$7:$D$1200,$A172,'Registro de Fichas'!$K$7:$K$1200,"Contenedores")</f>
        <v>0</v>
      </c>
      <c r="L172" s="74" t="n">
        <f aca="false">COUNTIFS('Registro de Fichas'!$D$7:$D$1200,$A172,'Registro de Fichas'!$K$7:$K$1200,"Granel solido")</f>
        <v>0</v>
      </c>
      <c r="M172" s="74" t="n">
        <f aca="false">COUNTIFS('Registro de Fichas'!$D$7:$D$1200,$A172,'Registro de Fichas'!$K$7:$K$1200,"Carga fraccionada")</f>
        <v>0</v>
      </c>
      <c r="N172" s="74" t="n">
        <f aca="false">COUNTIFS('Registro de Fichas'!$D$7:$D$1200,$A172,'Registro de Fichas'!$K$7:$K$1200,"Big bags")</f>
        <v>0</v>
      </c>
      <c r="O172" s="74" t="n">
        <f aca="false">COUNTIFS('Registro de Fichas'!$D$7:$D$1200,$A172,'Registro de Fichas'!$L$7:$L$1200,"Si")</f>
        <v>0</v>
      </c>
      <c r="P172" s="75" t="str">
        <f aca="false">IF($C172=0,"",IF($C172&lt;Parametros!$B$27,"EVIDENCIA INSUFICIENTE",IF(AND($D172&lt;&gt;"",$C172&lt;$D172*Parametros!$B$28),"BAJO % MUESTREO",IF($J172&lt;Parametros!$B$31,"POCOS EVALUADORES","VALIDA"))))</f>
        <v/>
      </c>
    </row>
    <row r="173" customFormat="false" ht="15" hidden="false" customHeight="true" outlineLevel="0" collapsed="false">
      <c r="A173" s="72"/>
      <c r="B173" s="13" t="str">
        <f aca="false">IFERROR(INDEX('Registro de Fichas'!$E$7:$E$1200,MATCH($A173,'Registro de Fichas'!$D$7:$D$1200,0)),"")</f>
        <v/>
      </c>
      <c r="C173" s="26" t="n">
        <f aca="false">COUNTIF('Registro de Fichas'!$D$7:$D$1200,$A173)</f>
        <v>0</v>
      </c>
      <c r="D173" s="72"/>
      <c r="E173" s="73" t="str">
        <f aca="false">IFERROR(AVERAGEIF('Registro de Fichas'!$D$7:$D$1200,$A173,'Registro de Fichas'!$G$7:$G$1200),"")</f>
        <v/>
      </c>
      <c r="F173" s="73" t="str">
        <f aca="false">IFERROR(AVERAGEIF('Registro de Fichas'!$D$7:$D$1200,$A173,'Registro de Fichas'!$H$7:$H$1200),"")</f>
        <v/>
      </c>
      <c r="G173" s="73" t="str">
        <f aca="false">IFERROR(AVERAGEIF('Registro de Fichas'!$D$7:$D$1200,$A173,'Registro de Fichas'!$I$7:$I$1200),"")</f>
        <v/>
      </c>
      <c r="H173" s="73" t="str">
        <f aca="false">IFERROR(AVERAGEIF('Registro de Fichas'!$D$7:$D$1200,$A173,'Registro de Fichas'!$J$7:$J$1200),"")</f>
        <v/>
      </c>
      <c r="I173" s="38" t="str">
        <f aca="false">IF($C173=0,"",IF($C173&gt;=Parametros!$B$27,"OK","FALTAN "&amp;(Parametros!$B$27-$C173)))</f>
        <v/>
      </c>
      <c r="J173" s="38" t="str">
        <f aca="false">IF($C173=0,"",SUMIF('Registro de Fichas'!$D$7:$D$1200,$A173,'Registro de Fichas'!$M$7:$M$1200))</f>
        <v/>
      </c>
      <c r="K173" s="26" t="n">
        <f aca="false">COUNTIFS('Registro de Fichas'!$D$7:$D$1200,$A173,'Registro de Fichas'!$K$7:$K$1200,"Contenedores")</f>
        <v>0</v>
      </c>
      <c r="L173" s="26" t="n">
        <f aca="false">COUNTIFS('Registro de Fichas'!$D$7:$D$1200,$A173,'Registro de Fichas'!$K$7:$K$1200,"Granel solido")</f>
        <v>0</v>
      </c>
      <c r="M173" s="26" t="n">
        <f aca="false">COUNTIFS('Registro de Fichas'!$D$7:$D$1200,$A173,'Registro de Fichas'!$K$7:$K$1200,"Carga fraccionada")</f>
        <v>0</v>
      </c>
      <c r="N173" s="26" t="n">
        <f aca="false">COUNTIFS('Registro de Fichas'!$D$7:$D$1200,$A173,'Registro de Fichas'!$K$7:$K$1200,"Big bags")</f>
        <v>0</v>
      </c>
      <c r="O173" s="26" t="n">
        <f aca="false">COUNTIFS('Registro de Fichas'!$D$7:$D$1200,$A173,'Registro de Fichas'!$L$7:$L$1200,"Si")</f>
        <v>0</v>
      </c>
      <c r="P173" s="23" t="str">
        <f aca="false">IF($C173=0,"",IF($C173&lt;Parametros!$B$27,"EVIDENCIA INSUFICIENTE",IF(AND($D173&lt;&gt;"",$C173&lt;$D173*Parametros!$B$28),"BAJO % MUESTREO",IF($J173&lt;Parametros!$B$31,"POCOS EVALUADORES","VALIDA"))))</f>
        <v/>
      </c>
    </row>
    <row r="174" customFormat="false" ht="15" hidden="false" customHeight="true" outlineLevel="0" collapsed="false">
      <c r="A174" s="72"/>
      <c r="B174" s="16" t="str">
        <f aca="false">IFERROR(INDEX('Registro de Fichas'!$E$7:$E$1200,MATCH($A174,'Registro de Fichas'!$D$7:$D$1200,0)),"")</f>
        <v/>
      </c>
      <c r="C174" s="74" t="n">
        <f aca="false">COUNTIF('Registro de Fichas'!$D$7:$D$1200,$A174)</f>
        <v>0</v>
      </c>
      <c r="D174" s="72"/>
      <c r="E174" s="73" t="str">
        <f aca="false">IFERROR(AVERAGEIF('Registro de Fichas'!$D$7:$D$1200,$A174,'Registro de Fichas'!$G$7:$G$1200),"")</f>
        <v/>
      </c>
      <c r="F174" s="73" t="str">
        <f aca="false">IFERROR(AVERAGEIF('Registro de Fichas'!$D$7:$D$1200,$A174,'Registro de Fichas'!$H$7:$H$1200),"")</f>
        <v/>
      </c>
      <c r="G174" s="73" t="str">
        <f aca="false">IFERROR(AVERAGEIF('Registro de Fichas'!$D$7:$D$1200,$A174,'Registro de Fichas'!$I$7:$I$1200),"")</f>
        <v/>
      </c>
      <c r="H174" s="73" t="str">
        <f aca="false">IFERROR(AVERAGEIF('Registro de Fichas'!$D$7:$D$1200,$A174,'Registro de Fichas'!$J$7:$J$1200),"")</f>
        <v/>
      </c>
      <c r="I174" s="56" t="str">
        <f aca="false">IF($C174=0,"",IF($C174&gt;=Parametros!$B$27,"OK","FALTAN "&amp;(Parametros!$B$27-$C174)))</f>
        <v/>
      </c>
      <c r="J174" s="56" t="str">
        <f aca="false">IF($C174=0,"",SUMIF('Registro de Fichas'!$D$7:$D$1200,$A174,'Registro de Fichas'!$M$7:$M$1200))</f>
        <v/>
      </c>
      <c r="K174" s="74" t="n">
        <f aca="false">COUNTIFS('Registro de Fichas'!$D$7:$D$1200,$A174,'Registro de Fichas'!$K$7:$K$1200,"Contenedores")</f>
        <v>0</v>
      </c>
      <c r="L174" s="74" t="n">
        <f aca="false">COUNTIFS('Registro de Fichas'!$D$7:$D$1200,$A174,'Registro de Fichas'!$K$7:$K$1200,"Granel solido")</f>
        <v>0</v>
      </c>
      <c r="M174" s="74" t="n">
        <f aca="false">COUNTIFS('Registro de Fichas'!$D$7:$D$1200,$A174,'Registro de Fichas'!$K$7:$K$1200,"Carga fraccionada")</f>
        <v>0</v>
      </c>
      <c r="N174" s="74" t="n">
        <f aca="false">COUNTIFS('Registro de Fichas'!$D$7:$D$1200,$A174,'Registro de Fichas'!$K$7:$K$1200,"Big bags")</f>
        <v>0</v>
      </c>
      <c r="O174" s="74" t="n">
        <f aca="false">COUNTIFS('Registro de Fichas'!$D$7:$D$1200,$A174,'Registro de Fichas'!$L$7:$L$1200,"Si")</f>
        <v>0</v>
      </c>
      <c r="P174" s="75" t="str">
        <f aca="false">IF($C174=0,"",IF($C174&lt;Parametros!$B$27,"EVIDENCIA INSUFICIENTE",IF(AND($D174&lt;&gt;"",$C174&lt;$D174*Parametros!$B$28),"BAJO % MUESTREO",IF($J174&lt;Parametros!$B$31,"POCOS EVALUADORES","VALIDA"))))</f>
        <v/>
      </c>
    </row>
    <row r="175" customFormat="false" ht="15" hidden="false" customHeight="true" outlineLevel="0" collapsed="false">
      <c r="A175" s="72"/>
      <c r="B175" s="13" t="str">
        <f aca="false">IFERROR(INDEX('Registro de Fichas'!$E$7:$E$1200,MATCH($A175,'Registro de Fichas'!$D$7:$D$1200,0)),"")</f>
        <v/>
      </c>
      <c r="C175" s="26" t="n">
        <f aca="false">COUNTIF('Registro de Fichas'!$D$7:$D$1200,$A175)</f>
        <v>0</v>
      </c>
      <c r="D175" s="72"/>
      <c r="E175" s="73" t="str">
        <f aca="false">IFERROR(AVERAGEIF('Registro de Fichas'!$D$7:$D$1200,$A175,'Registro de Fichas'!$G$7:$G$1200),"")</f>
        <v/>
      </c>
      <c r="F175" s="73" t="str">
        <f aca="false">IFERROR(AVERAGEIF('Registro de Fichas'!$D$7:$D$1200,$A175,'Registro de Fichas'!$H$7:$H$1200),"")</f>
        <v/>
      </c>
      <c r="G175" s="73" t="str">
        <f aca="false">IFERROR(AVERAGEIF('Registro de Fichas'!$D$7:$D$1200,$A175,'Registro de Fichas'!$I$7:$I$1200),"")</f>
        <v/>
      </c>
      <c r="H175" s="73" t="str">
        <f aca="false">IFERROR(AVERAGEIF('Registro de Fichas'!$D$7:$D$1200,$A175,'Registro de Fichas'!$J$7:$J$1200),"")</f>
        <v/>
      </c>
      <c r="I175" s="38" t="str">
        <f aca="false">IF($C175=0,"",IF($C175&gt;=Parametros!$B$27,"OK","FALTAN "&amp;(Parametros!$B$27-$C175)))</f>
        <v/>
      </c>
      <c r="J175" s="38" t="str">
        <f aca="false">IF($C175=0,"",SUMIF('Registro de Fichas'!$D$7:$D$1200,$A175,'Registro de Fichas'!$M$7:$M$1200))</f>
        <v/>
      </c>
      <c r="K175" s="26" t="n">
        <f aca="false">COUNTIFS('Registro de Fichas'!$D$7:$D$1200,$A175,'Registro de Fichas'!$K$7:$K$1200,"Contenedores")</f>
        <v>0</v>
      </c>
      <c r="L175" s="26" t="n">
        <f aca="false">COUNTIFS('Registro de Fichas'!$D$7:$D$1200,$A175,'Registro de Fichas'!$K$7:$K$1200,"Granel solido")</f>
        <v>0</v>
      </c>
      <c r="M175" s="26" t="n">
        <f aca="false">COUNTIFS('Registro de Fichas'!$D$7:$D$1200,$A175,'Registro de Fichas'!$K$7:$K$1200,"Carga fraccionada")</f>
        <v>0</v>
      </c>
      <c r="N175" s="26" t="n">
        <f aca="false">COUNTIFS('Registro de Fichas'!$D$7:$D$1200,$A175,'Registro de Fichas'!$K$7:$K$1200,"Big bags")</f>
        <v>0</v>
      </c>
      <c r="O175" s="26" t="n">
        <f aca="false">COUNTIFS('Registro de Fichas'!$D$7:$D$1200,$A175,'Registro de Fichas'!$L$7:$L$1200,"Si")</f>
        <v>0</v>
      </c>
      <c r="P175" s="23" t="str">
        <f aca="false">IF($C175=0,"",IF($C175&lt;Parametros!$B$27,"EVIDENCIA INSUFICIENTE",IF(AND($D175&lt;&gt;"",$C175&lt;$D175*Parametros!$B$28),"BAJO % MUESTREO",IF($J175&lt;Parametros!$B$31,"POCOS EVALUADORES","VALIDA"))))</f>
        <v/>
      </c>
    </row>
    <row r="176" customFormat="false" ht="15" hidden="false" customHeight="true" outlineLevel="0" collapsed="false">
      <c r="A176" s="72"/>
      <c r="B176" s="16" t="str">
        <f aca="false">IFERROR(INDEX('Registro de Fichas'!$E$7:$E$1200,MATCH($A176,'Registro de Fichas'!$D$7:$D$1200,0)),"")</f>
        <v/>
      </c>
      <c r="C176" s="74" t="n">
        <f aca="false">COUNTIF('Registro de Fichas'!$D$7:$D$1200,$A176)</f>
        <v>0</v>
      </c>
      <c r="D176" s="72"/>
      <c r="E176" s="73" t="str">
        <f aca="false">IFERROR(AVERAGEIF('Registro de Fichas'!$D$7:$D$1200,$A176,'Registro de Fichas'!$G$7:$G$1200),"")</f>
        <v/>
      </c>
      <c r="F176" s="73" t="str">
        <f aca="false">IFERROR(AVERAGEIF('Registro de Fichas'!$D$7:$D$1200,$A176,'Registro de Fichas'!$H$7:$H$1200),"")</f>
        <v/>
      </c>
      <c r="G176" s="73" t="str">
        <f aca="false">IFERROR(AVERAGEIF('Registro de Fichas'!$D$7:$D$1200,$A176,'Registro de Fichas'!$I$7:$I$1200),"")</f>
        <v/>
      </c>
      <c r="H176" s="73" t="str">
        <f aca="false">IFERROR(AVERAGEIF('Registro de Fichas'!$D$7:$D$1200,$A176,'Registro de Fichas'!$J$7:$J$1200),"")</f>
        <v/>
      </c>
      <c r="I176" s="56" t="str">
        <f aca="false">IF($C176=0,"",IF($C176&gt;=Parametros!$B$27,"OK","FALTAN "&amp;(Parametros!$B$27-$C176)))</f>
        <v/>
      </c>
      <c r="J176" s="56" t="str">
        <f aca="false">IF($C176=0,"",SUMIF('Registro de Fichas'!$D$7:$D$1200,$A176,'Registro de Fichas'!$M$7:$M$1200))</f>
        <v/>
      </c>
      <c r="K176" s="74" t="n">
        <f aca="false">COUNTIFS('Registro de Fichas'!$D$7:$D$1200,$A176,'Registro de Fichas'!$K$7:$K$1200,"Contenedores")</f>
        <v>0</v>
      </c>
      <c r="L176" s="74" t="n">
        <f aca="false">COUNTIFS('Registro de Fichas'!$D$7:$D$1200,$A176,'Registro de Fichas'!$K$7:$K$1200,"Granel solido")</f>
        <v>0</v>
      </c>
      <c r="M176" s="74" t="n">
        <f aca="false">COUNTIFS('Registro de Fichas'!$D$7:$D$1200,$A176,'Registro de Fichas'!$K$7:$K$1200,"Carga fraccionada")</f>
        <v>0</v>
      </c>
      <c r="N176" s="74" t="n">
        <f aca="false">COUNTIFS('Registro de Fichas'!$D$7:$D$1200,$A176,'Registro de Fichas'!$K$7:$K$1200,"Big bags")</f>
        <v>0</v>
      </c>
      <c r="O176" s="74" t="n">
        <f aca="false">COUNTIFS('Registro de Fichas'!$D$7:$D$1200,$A176,'Registro de Fichas'!$L$7:$L$1200,"Si")</f>
        <v>0</v>
      </c>
      <c r="P176" s="75" t="str">
        <f aca="false">IF($C176=0,"",IF($C176&lt;Parametros!$B$27,"EVIDENCIA INSUFICIENTE",IF(AND($D176&lt;&gt;"",$C176&lt;$D176*Parametros!$B$28),"BAJO % MUESTREO",IF($J176&lt;Parametros!$B$31,"POCOS EVALUADORES","VALIDA"))))</f>
        <v/>
      </c>
    </row>
    <row r="177" customFormat="false" ht="15" hidden="false" customHeight="true" outlineLevel="0" collapsed="false">
      <c r="A177" s="72"/>
      <c r="B177" s="13" t="str">
        <f aca="false">IFERROR(INDEX('Registro de Fichas'!$E$7:$E$1200,MATCH($A177,'Registro de Fichas'!$D$7:$D$1200,0)),"")</f>
        <v/>
      </c>
      <c r="C177" s="26" t="n">
        <f aca="false">COUNTIF('Registro de Fichas'!$D$7:$D$1200,$A177)</f>
        <v>0</v>
      </c>
      <c r="D177" s="72"/>
      <c r="E177" s="73" t="str">
        <f aca="false">IFERROR(AVERAGEIF('Registro de Fichas'!$D$7:$D$1200,$A177,'Registro de Fichas'!$G$7:$G$1200),"")</f>
        <v/>
      </c>
      <c r="F177" s="73" t="str">
        <f aca="false">IFERROR(AVERAGEIF('Registro de Fichas'!$D$7:$D$1200,$A177,'Registro de Fichas'!$H$7:$H$1200),"")</f>
        <v/>
      </c>
      <c r="G177" s="73" t="str">
        <f aca="false">IFERROR(AVERAGEIF('Registro de Fichas'!$D$7:$D$1200,$A177,'Registro de Fichas'!$I$7:$I$1200),"")</f>
        <v/>
      </c>
      <c r="H177" s="73" t="str">
        <f aca="false">IFERROR(AVERAGEIF('Registro de Fichas'!$D$7:$D$1200,$A177,'Registro de Fichas'!$J$7:$J$1200),"")</f>
        <v/>
      </c>
      <c r="I177" s="38" t="str">
        <f aca="false">IF($C177=0,"",IF($C177&gt;=Parametros!$B$27,"OK","FALTAN "&amp;(Parametros!$B$27-$C177)))</f>
        <v/>
      </c>
      <c r="J177" s="38" t="str">
        <f aca="false">IF($C177=0,"",SUMIF('Registro de Fichas'!$D$7:$D$1200,$A177,'Registro de Fichas'!$M$7:$M$1200))</f>
        <v/>
      </c>
      <c r="K177" s="26" t="n">
        <f aca="false">COUNTIFS('Registro de Fichas'!$D$7:$D$1200,$A177,'Registro de Fichas'!$K$7:$K$1200,"Contenedores")</f>
        <v>0</v>
      </c>
      <c r="L177" s="26" t="n">
        <f aca="false">COUNTIFS('Registro de Fichas'!$D$7:$D$1200,$A177,'Registro de Fichas'!$K$7:$K$1200,"Granel solido")</f>
        <v>0</v>
      </c>
      <c r="M177" s="26" t="n">
        <f aca="false">COUNTIFS('Registro de Fichas'!$D$7:$D$1200,$A177,'Registro de Fichas'!$K$7:$K$1200,"Carga fraccionada")</f>
        <v>0</v>
      </c>
      <c r="N177" s="26" t="n">
        <f aca="false">COUNTIFS('Registro de Fichas'!$D$7:$D$1200,$A177,'Registro de Fichas'!$K$7:$K$1200,"Big bags")</f>
        <v>0</v>
      </c>
      <c r="O177" s="26" t="n">
        <f aca="false">COUNTIFS('Registro de Fichas'!$D$7:$D$1200,$A177,'Registro de Fichas'!$L$7:$L$1200,"Si")</f>
        <v>0</v>
      </c>
      <c r="P177" s="23" t="str">
        <f aca="false">IF($C177=0,"",IF($C177&lt;Parametros!$B$27,"EVIDENCIA INSUFICIENTE",IF(AND($D177&lt;&gt;"",$C177&lt;$D177*Parametros!$B$28),"BAJO % MUESTREO",IF($J177&lt;Parametros!$B$31,"POCOS EVALUADORES","VALIDA"))))</f>
        <v/>
      </c>
    </row>
    <row r="178" customFormat="false" ht="15" hidden="false" customHeight="true" outlineLevel="0" collapsed="false">
      <c r="A178" s="72"/>
      <c r="B178" s="16" t="str">
        <f aca="false">IFERROR(INDEX('Registro de Fichas'!$E$7:$E$1200,MATCH($A178,'Registro de Fichas'!$D$7:$D$1200,0)),"")</f>
        <v/>
      </c>
      <c r="C178" s="74" t="n">
        <f aca="false">COUNTIF('Registro de Fichas'!$D$7:$D$1200,$A178)</f>
        <v>0</v>
      </c>
      <c r="D178" s="72"/>
      <c r="E178" s="73" t="str">
        <f aca="false">IFERROR(AVERAGEIF('Registro de Fichas'!$D$7:$D$1200,$A178,'Registro de Fichas'!$G$7:$G$1200),"")</f>
        <v/>
      </c>
      <c r="F178" s="73" t="str">
        <f aca="false">IFERROR(AVERAGEIF('Registro de Fichas'!$D$7:$D$1200,$A178,'Registro de Fichas'!$H$7:$H$1200),"")</f>
        <v/>
      </c>
      <c r="G178" s="73" t="str">
        <f aca="false">IFERROR(AVERAGEIF('Registro de Fichas'!$D$7:$D$1200,$A178,'Registro de Fichas'!$I$7:$I$1200),"")</f>
        <v/>
      </c>
      <c r="H178" s="73" t="str">
        <f aca="false">IFERROR(AVERAGEIF('Registro de Fichas'!$D$7:$D$1200,$A178,'Registro de Fichas'!$J$7:$J$1200),"")</f>
        <v/>
      </c>
      <c r="I178" s="56" t="str">
        <f aca="false">IF($C178=0,"",IF($C178&gt;=Parametros!$B$27,"OK","FALTAN "&amp;(Parametros!$B$27-$C178)))</f>
        <v/>
      </c>
      <c r="J178" s="56" t="str">
        <f aca="false">IF($C178=0,"",SUMIF('Registro de Fichas'!$D$7:$D$1200,$A178,'Registro de Fichas'!$M$7:$M$1200))</f>
        <v/>
      </c>
      <c r="K178" s="74" t="n">
        <f aca="false">COUNTIFS('Registro de Fichas'!$D$7:$D$1200,$A178,'Registro de Fichas'!$K$7:$K$1200,"Contenedores")</f>
        <v>0</v>
      </c>
      <c r="L178" s="74" t="n">
        <f aca="false">COUNTIFS('Registro de Fichas'!$D$7:$D$1200,$A178,'Registro de Fichas'!$K$7:$K$1200,"Granel solido")</f>
        <v>0</v>
      </c>
      <c r="M178" s="74" t="n">
        <f aca="false">COUNTIFS('Registro de Fichas'!$D$7:$D$1200,$A178,'Registro de Fichas'!$K$7:$K$1200,"Carga fraccionada")</f>
        <v>0</v>
      </c>
      <c r="N178" s="74" t="n">
        <f aca="false">COUNTIFS('Registro de Fichas'!$D$7:$D$1200,$A178,'Registro de Fichas'!$K$7:$K$1200,"Big bags")</f>
        <v>0</v>
      </c>
      <c r="O178" s="74" t="n">
        <f aca="false">COUNTIFS('Registro de Fichas'!$D$7:$D$1200,$A178,'Registro de Fichas'!$L$7:$L$1200,"Si")</f>
        <v>0</v>
      </c>
      <c r="P178" s="75" t="str">
        <f aca="false">IF($C178=0,"",IF($C178&lt;Parametros!$B$27,"EVIDENCIA INSUFICIENTE",IF(AND($D178&lt;&gt;"",$C178&lt;$D178*Parametros!$B$28),"BAJO % MUESTREO",IF($J178&lt;Parametros!$B$31,"POCOS EVALUADORES","VALIDA"))))</f>
        <v/>
      </c>
    </row>
    <row r="179" customFormat="false" ht="15" hidden="false" customHeight="true" outlineLevel="0" collapsed="false">
      <c r="A179" s="72"/>
      <c r="B179" s="13" t="str">
        <f aca="false">IFERROR(INDEX('Registro de Fichas'!$E$7:$E$1200,MATCH($A179,'Registro de Fichas'!$D$7:$D$1200,0)),"")</f>
        <v/>
      </c>
      <c r="C179" s="26" t="n">
        <f aca="false">COUNTIF('Registro de Fichas'!$D$7:$D$1200,$A179)</f>
        <v>0</v>
      </c>
      <c r="D179" s="72"/>
      <c r="E179" s="73" t="str">
        <f aca="false">IFERROR(AVERAGEIF('Registro de Fichas'!$D$7:$D$1200,$A179,'Registro de Fichas'!$G$7:$G$1200),"")</f>
        <v/>
      </c>
      <c r="F179" s="73" t="str">
        <f aca="false">IFERROR(AVERAGEIF('Registro de Fichas'!$D$7:$D$1200,$A179,'Registro de Fichas'!$H$7:$H$1200),"")</f>
        <v/>
      </c>
      <c r="G179" s="73" t="str">
        <f aca="false">IFERROR(AVERAGEIF('Registro de Fichas'!$D$7:$D$1200,$A179,'Registro de Fichas'!$I$7:$I$1200),"")</f>
        <v/>
      </c>
      <c r="H179" s="73" t="str">
        <f aca="false">IFERROR(AVERAGEIF('Registro de Fichas'!$D$7:$D$1200,$A179,'Registro de Fichas'!$J$7:$J$1200),"")</f>
        <v/>
      </c>
      <c r="I179" s="38" t="str">
        <f aca="false">IF($C179=0,"",IF($C179&gt;=Parametros!$B$27,"OK","FALTAN "&amp;(Parametros!$B$27-$C179)))</f>
        <v/>
      </c>
      <c r="J179" s="38" t="str">
        <f aca="false">IF($C179=0,"",SUMIF('Registro de Fichas'!$D$7:$D$1200,$A179,'Registro de Fichas'!$M$7:$M$1200))</f>
        <v/>
      </c>
      <c r="K179" s="26" t="n">
        <f aca="false">COUNTIFS('Registro de Fichas'!$D$7:$D$1200,$A179,'Registro de Fichas'!$K$7:$K$1200,"Contenedores")</f>
        <v>0</v>
      </c>
      <c r="L179" s="26" t="n">
        <f aca="false">COUNTIFS('Registro de Fichas'!$D$7:$D$1200,$A179,'Registro de Fichas'!$K$7:$K$1200,"Granel solido")</f>
        <v>0</v>
      </c>
      <c r="M179" s="26" t="n">
        <f aca="false">COUNTIFS('Registro de Fichas'!$D$7:$D$1200,$A179,'Registro de Fichas'!$K$7:$K$1200,"Carga fraccionada")</f>
        <v>0</v>
      </c>
      <c r="N179" s="26" t="n">
        <f aca="false">COUNTIFS('Registro de Fichas'!$D$7:$D$1200,$A179,'Registro de Fichas'!$K$7:$K$1200,"Big bags")</f>
        <v>0</v>
      </c>
      <c r="O179" s="26" t="n">
        <f aca="false">COUNTIFS('Registro de Fichas'!$D$7:$D$1200,$A179,'Registro de Fichas'!$L$7:$L$1200,"Si")</f>
        <v>0</v>
      </c>
      <c r="P179" s="23" t="str">
        <f aca="false">IF($C179=0,"",IF($C179&lt;Parametros!$B$27,"EVIDENCIA INSUFICIENTE",IF(AND($D179&lt;&gt;"",$C179&lt;$D179*Parametros!$B$28),"BAJO % MUESTREO",IF($J179&lt;Parametros!$B$31,"POCOS EVALUADORES","VALIDA"))))</f>
        <v/>
      </c>
    </row>
    <row r="180" customFormat="false" ht="15" hidden="false" customHeight="true" outlineLevel="0" collapsed="false">
      <c r="A180" s="72"/>
      <c r="B180" s="16" t="str">
        <f aca="false">IFERROR(INDEX('Registro de Fichas'!$E$7:$E$1200,MATCH($A180,'Registro de Fichas'!$D$7:$D$1200,0)),"")</f>
        <v/>
      </c>
      <c r="C180" s="74" t="n">
        <f aca="false">COUNTIF('Registro de Fichas'!$D$7:$D$1200,$A180)</f>
        <v>0</v>
      </c>
      <c r="D180" s="72"/>
      <c r="E180" s="73" t="str">
        <f aca="false">IFERROR(AVERAGEIF('Registro de Fichas'!$D$7:$D$1200,$A180,'Registro de Fichas'!$G$7:$G$1200),"")</f>
        <v/>
      </c>
      <c r="F180" s="73" t="str">
        <f aca="false">IFERROR(AVERAGEIF('Registro de Fichas'!$D$7:$D$1200,$A180,'Registro de Fichas'!$H$7:$H$1200),"")</f>
        <v/>
      </c>
      <c r="G180" s="73" t="str">
        <f aca="false">IFERROR(AVERAGEIF('Registro de Fichas'!$D$7:$D$1200,$A180,'Registro de Fichas'!$I$7:$I$1200),"")</f>
        <v/>
      </c>
      <c r="H180" s="73" t="str">
        <f aca="false">IFERROR(AVERAGEIF('Registro de Fichas'!$D$7:$D$1200,$A180,'Registro de Fichas'!$J$7:$J$1200),"")</f>
        <v/>
      </c>
      <c r="I180" s="56" t="str">
        <f aca="false">IF($C180=0,"",IF($C180&gt;=Parametros!$B$27,"OK","FALTAN "&amp;(Parametros!$B$27-$C180)))</f>
        <v/>
      </c>
      <c r="J180" s="56" t="str">
        <f aca="false">IF($C180=0,"",SUMIF('Registro de Fichas'!$D$7:$D$1200,$A180,'Registro de Fichas'!$M$7:$M$1200))</f>
        <v/>
      </c>
      <c r="K180" s="74" t="n">
        <f aca="false">COUNTIFS('Registro de Fichas'!$D$7:$D$1200,$A180,'Registro de Fichas'!$K$7:$K$1200,"Contenedores")</f>
        <v>0</v>
      </c>
      <c r="L180" s="74" t="n">
        <f aca="false">COUNTIFS('Registro de Fichas'!$D$7:$D$1200,$A180,'Registro de Fichas'!$K$7:$K$1200,"Granel solido")</f>
        <v>0</v>
      </c>
      <c r="M180" s="74" t="n">
        <f aca="false">COUNTIFS('Registro de Fichas'!$D$7:$D$1200,$A180,'Registro de Fichas'!$K$7:$K$1200,"Carga fraccionada")</f>
        <v>0</v>
      </c>
      <c r="N180" s="74" t="n">
        <f aca="false">COUNTIFS('Registro de Fichas'!$D$7:$D$1200,$A180,'Registro de Fichas'!$K$7:$K$1200,"Big bags")</f>
        <v>0</v>
      </c>
      <c r="O180" s="74" t="n">
        <f aca="false">COUNTIFS('Registro de Fichas'!$D$7:$D$1200,$A180,'Registro de Fichas'!$L$7:$L$1200,"Si")</f>
        <v>0</v>
      </c>
      <c r="P180" s="75" t="str">
        <f aca="false">IF($C180=0,"",IF($C180&lt;Parametros!$B$27,"EVIDENCIA INSUFICIENTE",IF(AND($D180&lt;&gt;"",$C180&lt;$D180*Parametros!$B$28),"BAJO % MUESTREO",IF($J180&lt;Parametros!$B$31,"POCOS EVALUADORES","VALIDA"))))</f>
        <v/>
      </c>
    </row>
    <row r="181" customFormat="false" ht="15" hidden="false" customHeight="true" outlineLevel="0" collapsed="false">
      <c r="A181" s="72"/>
      <c r="B181" s="13" t="str">
        <f aca="false">IFERROR(INDEX('Registro de Fichas'!$E$7:$E$1200,MATCH($A181,'Registro de Fichas'!$D$7:$D$1200,0)),"")</f>
        <v/>
      </c>
      <c r="C181" s="26" t="n">
        <f aca="false">COUNTIF('Registro de Fichas'!$D$7:$D$1200,$A181)</f>
        <v>0</v>
      </c>
      <c r="D181" s="72"/>
      <c r="E181" s="73" t="str">
        <f aca="false">IFERROR(AVERAGEIF('Registro de Fichas'!$D$7:$D$1200,$A181,'Registro de Fichas'!$G$7:$G$1200),"")</f>
        <v/>
      </c>
      <c r="F181" s="73" t="str">
        <f aca="false">IFERROR(AVERAGEIF('Registro de Fichas'!$D$7:$D$1200,$A181,'Registro de Fichas'!$H$7:$H$1200),"")</f>
        <v/>
      </c>
      <c r="G181" s="73" t="str">
        <f aca="false">IFERROR(AVERAGEIF('Registro de Fichas'!$D$7:$D$1200,$A181,'Registro de Fichas'!$I$7:$I$1200),"")</f>
        <v/>
      </c>
      <c r="H181" s="73" t="str">
        <f aca="false">IFERROR(AVERAGEIF('Registro de Fichas'!$D$7:$D$1200,$A181,'Registro de Fichas'!$J$7:$J$1200),"")</f>
        <v/>
      </c>
      <c r="I181" s="38" t="str">
        <f aca="false">IF($C181=0,"",IF($C181&gt;=Parametros!$B$27,"OK","FALTAN "&amp;(Parametros!$B$27-$C181)))</f>
        <v/>
      </c>
      <c r="J181" s="38" t="str">
        <f aca="false">IF($C181=0,"",SUMIF('Registro de Fichas'!$D$7:$D$1200,$A181,'Registro de Fichas'!$M$7:$M$1200))</f>
        <v/>
      </c>
      <c r="K181" s="26" t="n">
        <f aca="false">COUNTIFS('Registro de Fichas'!$D$7:$D$1200,$A181,'Registro de Fichas'!$K$7:$K$1200,"Contenedores")</f>
        <v>0</v>
      </c>
      <c r="L181" s="26" t="n">
        <f aca="false">COUNTIFS('Registro de Fichas'!$D$7:$D$1200,$A181,'Registro de Fichas'!$K$7:$K$1200,"Granel solido")</f>
        <v>0</v>
      </c>
      <c r="M181" s="26" t="n">
        <f aca="false">COUNTIFS('Registro de Fichas'!$D$7:$D$1200,$A181,'Registro de Fichas'!$K$7:$K$1200,"Carga fraccionada")</f>
        <v>0</v>
      </c>
      <c r="N181" s="26" t="n">
        <f aca="false">COUNTIFS('Registro de Fichas'!$D$7:$D$1200,$A181,'Registro de Fichas'!$K$7:$K$1200,"Big bags")</f>
        <v>0</v>
      </c>
      <c r="O181" s="26" t="n">
        <f aca="false">COUNTIFS('Registro de Fichas'!$D$7:$D$1200,$A181,'Registro de Fichas'!$L$7:$L$1200,"Si")</f>
        <v>0</v>
      </c>
      <c r="P181" s="23" t="str">
        <f aca="false">IF($C181=0,"",IF($C181&lt;Parametros!$B$27,"EVIDENCIA INSUFICIENTE",IF(AND($D181&lt;&gt;"",$C181&lt;$D181*Parametros!$B$28),"BAJO % MUESTREO",IF($J181&lt;Parametros!$B$31,"POCOS EVALUADORES","VALIDA"))))</f>
        <v/>
      </c>
    </row>
    <row r="182" customFormat="false" ht="15" hidden="false" customHeight="true" outlineLevel="0" collapsed="false">
      <c r="A182" s="72"/>
      <c r="B182" s="16" t="str">
        <f aca="false">IFERROR(INDEX('Registro de Fichas'!$E$7:$E$1200,MATCH($A182,'Registro de Fichas'!$D$7:$D$1200,0)),"")</f>
        <v/>
      </c>
      <c r="C182" s="74" t="n">
        <f aca="false">COUNTIF('Registro de Fichas'!$D$7:$D$1200,$A182)</f>
        <v>0</v>
      </c>
      <c r="D182" s="72"/>
      <c r="E182" s="73" t="str">
        <f aca="false">IFERROR(AVERAGEIF('Registro de Fichas'!$D$7:$D$1200,$A182,'Registro de Fichas'!$G$7:$G$1200),"")</f>
        <v/>
      </c>
      <c r="F182" s="73" t="str">
        <f aca="false">IFERROR(AVERAGEIF('Registro de Fichas'!$D$7:$D$1200,$A182,'Registro de Fichas'!$H$7:$H$1200),"")</f>
        <v/>
      </c>
      <c r="G182" s="73" t="str">
        <f aca="false">IFERROR(AVERAGEIF('Registro de Fichas'!$D$7:$D$1200,$A182,'Registro de Fichas'!$I$7:$I$1200),"")</f>
        <v/>
      </c>
      <c r="H182" s="73" t="str">
        <f aca="false">IFERROR(AVERAGEIF('Registro de Fichas'!$D$7:$D$1200,$A182,'Registro de Fichas'!$J$7:$J$1200),"")</f>
        <v/>
      </c>
      <c r="I182" s="56" t="str">
        <f aca="false">IF($C182=0,"",IF($C182&gt;=Parametros!$B$27,"OK","FALTAN "&amp;(Parametros!$B$27-$C182)))</f>
        <v/>
      </c>
      <c r="J182" s="56" t="str">
        <f aca="false">IF($C182=0,"",SUMIF('Registro de Fichas'!$D$7:$D$1200,$A182,'Registro de Fichas'!$M$7:$M$1200))</f>
        <v/>
      </c>
      <c r="K182" s="74" t="n">
        <f aca="false">COUNTIFS('Registro de Fichas'!$D$7:$D$1200,$A182,'Registro de Fichas'!$K$7:$K$1200,"Contenedores")</f>
        <v>0</v>
      </c>
      <c r="L182" s="74" t="n">
        <f aca="false">COUNTIFS('Registro de Fichas'!$D$7:$D$1200,$A182,'Registro de Fichas'!$K$7:$K$1200,"Granel solido")</f>
        <v>0</v>
      </c>
      <c r="M182" s="74" t="n">
        <f aca="false">COUNTIFS('Registro de Fichas'!$D$7:$D$1200,$A182,'Registro de Fichas'!$K$7:$K$1200,"Carga fraccionada")</f>
        <v>0</v>
      </c>
      <c r="N182" s="74" t="n">
        <f aca="false">COUNTIFS('Registro de Fichas'!$D$7:$D$1200,$A182,'Registro de Fichas'!$K$7:$K$1200,"Big bags")</f>
        <v>0</v>
      </c>
      <c r="O182" s="74" t="n">
        <f aca="false">COUNTIFS('Registro de Fichas'!$D$7:$D$1200,$A182,'Registro de Fichas'!$L$7:$L$1200,"Si")</f>
        <v>0</v>
      </c>
      <c r="P182" s="75" t="str">
        <f aca="false">IF($C182=0,"",IF($C182&lt;Parametros!$B$27,"EVIDENCIA INSUFICIENTE",IF(AND($D182&lt;&gt;"",$C182&lt;$D182*Parametros!$B$28),"BAJO % MUESTREO",IF($J182&lt;Parametros!$B$31,"POCOS EVALUADORES","VALIDA"))))</f>
        <v/>
      </c>
    </row>
    <row r="183" customFormat="false" ht="15" hidden="false" customHeight="true" outlineLevel="0" collapsed="false">
      <c r="A183" s="72"/>
      <c r="B183" s="13" t="str">
        <f aca="false">IFERROR(INDEX('Registro de Fichas'!$E$7:$E$1200,MATCH($A183,'Registro de Fichas'!$D$7:$D$1200,0)),"")</f>
        <v/>
      </c>
      <c r="C183" s="26" t="n">
        <f aca="false">COUNTIF('Registro de Fichas'!$D$7:$D$1200,$A183)</f>
        <v>0</v>
      </c>
      <c r="D183" s="72"/>
      <c r="E183" s="73" t="str">
        <f aca="false">IFERROR(AVERAGEIF('Registro de Fichas'!$D$7:$D$1200,$A183,'Registro de Fichas'!$G$7:$G$1200),"")</f>
        <v/>
      </c>
      <c r="F183" s="73" t="str">
        <f aca="false">IFERROR(AVERAGEIF('Registro de Fichas'!$D$7:$D$1200,$A183,'Registro de Fichas'!$H$7:$H$1200),"")</f>
        <v/>
      </c>
      <c r="G183" s="73" t="str">
        <f aca="false">IFERROR(AVERAGEIF('Registro de Fichas'!$D$7:$D$1200,$A183,'Registro de Fichas'!$I$7:$I$1200),"")</f>
        <v/>
      </c>
      <c r="H183" s="73" t="str">
        <f aca="false">IFERROR(AVERAGEIF('Registro de Fichas'!$D$7:$D$1200,$A183,'Registro de Fichas'!$J$7:$J$1200),"")</f>
        <v/>
      </c>
      <c r="I183" s="38" t="str">
        <f aca="false">IF($C183=0,"",IF($C183&gt;=Parametros!$B$27,"OK","FALTAN "&amp;(Parametros!$B$27-$C183)))</f>
        <v/>
      </c>
      <c r="J183" s="38" t="str">
        <f aca="false">IF($C183=0,"",SUMIF('Registro de Fichas'!$D$7:$D$1200,$A183,'Registro de Fichas'!$M$7:$M$1200))</f>
        <v/>
      </c>
      <c r="K183" s="26" t="n">
        <f aca="false">COUNTIFS('Registro de Fichas'!$D$7:$D$1200,$A183,'Registro de Fichas'!$K$7:$K$1200,"Contenedores")</f>
        <v>0</v>
      </c>
      <c r="L183" s="26" t="n">
        <f aca="false">COUNTIFS('Registro de Fichas'!$D$7:$D$1200,$A183,'Registro de Fichas'!$K$7:$K$1200,"Granel solido")</f>
        <v>0</v>
      </c>
      <c r="M183" s="26" t="n">
        <f aca="false">COUNTIFS('Registro de Fichas'!$D$7:$D$1200,$A183,'Registro de Fichas'!$K$7:$K$1200,"Carga fraccionada")</f>
        <v>0</v>
      </c>
      <c r="N183" s="26" t="n">
        <f aca="false">COUNTIFS('Registro de Fichas'!$D$7:$D$1200,$A183,'Registro de Fichas'!$K$7:$K$1200,"Big bags")</f>
        <v>0</v>
      </c>
      <c r="O183" s="26" t="n">
        <f aca="false">COUNTIFS('Registro de Fichas'!$D$7:$D$1200,$A183,'Registro de Fichas'!$L$7:$L$1200,"Si")</f>
        <v>0</v>
      </c>
      <c r="P183" s="23" t="str">
        <f aca="false">IF($C183=0,"",IF($C183&lt;Parametros!$B$27,"EVIDENCIA INSUFICIENTE",IF(AND($D183&lt;&gt;"",$C183&lt;$D183*Parametros!$B$28),"BAJO % MUESTREO",IF($J183&lt;Parametros!$B$31,"POCOS EVALUADORES","VALIDA"))))</f>
        <v/>
      </c>
    </row>
    <row r="184" customFormat="false" ht="15" hidden="false" customHeight="true" outlineLevel="0" collapsed="false">
      <c r="A184" s="72"/>
      <c r="B184" s="16" t="str">
        <f aca="false">IFERROR(INDEX('Registro de Fichas'!$E$7:$E$1200,MATCH($A184,'Registro de Fichas'!$D$7:$D$1200,0)),"")</f>
        <v/>
      </c>
      <c r="C184" s="74" t="n">
        <f aca="false">COUNTIF('Registro de Fichas'!$D$7:$D$1200,$A184)</f>
        <v>0</v>
      </c>
      <c r="D184" s="72"/>
      <c r="E184" s="73" t="str">
        <f aca="false">IFERROR(AVERAGEIF('Registro de Fichas'!$D$7:$D$1200,$A184,'Registro de Fichas'!$G$7:$G$1200),"")</f>
        <v/>
      </c>
      <c r="F184" s="73" t="str">
        <f aca="false">IFERROR(AVERAGEIF('Registro de Fichas'!$D$7:$D$1200,$A184,'Registro de Fichas'!$H$7:$H$1200),"")</f>
        <v/>
      </c>
      <c r="G184" s="73" t="str">
        <f aca="false">IFERROR(AVERAGEIF('Registro de Fichas'!$D$7:$D$1200,$A184,'Registro de Fichas'!$I$7:$I$1200),"")</f>
        <v/>
      </c>
      <c r="H184" s="73" t="str">
        <f aca="false">IFERROR(AVERAGEIF('Registro de Fichas'!$D$7:$D$1200,$A184,'Registro de Fichas'!$J$7:$J$1200),"")</f>
        <v/>
      </c>
      <c r="I184" s="56" t="str">
        <f aca="false">IF($C184=0,"",IF($C184&gt;=Parametros!$B$27,"OK","FALTAN "&amp;(Parametros!$B$27-$C184)))</f>
        <v/>
      </c>
      <c r="J184" s="56" t="str">
        <f aca="false">IF($C184=0,"",SUMIF('Registro de Fichas'!$D$7:$D$1200,$A184,'Registro de Fichas'!$M$7:$M$1200))</f>
        <v/>
      </c>
      <c r="K184" s="74" t="n">
        <f aca="false">COUNTIFS('Registro de Fichas'!$D$7:$D$1200,$A184,'Registro de Fichas'!$K$7:$K$1200,"Contenedores")</f>
        <v>0</v>
      </c>
      <c r="L184" s="74" t="n">
        <f aca="false">COUNTIFS('Registro de Fichas'!$D$7:$D$1200,$A184,'Registro de Fichas'!$K$7:$K$1200,"Granel solido")</f>
        <v>0</v>
      </c>
      <c r="M184" s="74" t="n">
        <f aca="false">COUNTIFS('Registro de Fichas'!$D$7:$D$1200,$A184,'Registro de Fichas'!$K$7:$K$1200,"Carga fraccionada")</f>
        <v>0</v>
      </c>
      <c r="N184" s="74" t="n">
        <f aca="false">COUNTIFS('Registro de Fichas'!$D$7:$D$1200,$A184,'Registro de Fichas'!$K$7:$K$1200,"Big bags")</f>
        <v>0</v>
      </c>
      <c r="O184" s="74" t="n">
        <f aca="false">COUNTIFS('Registro de Fichas'!$D$7:$D$1200,$A184,'Registro de Fichas'!$L$7:$L$1200,"Si")</f>
        <v>0</v>
      </c>
      <c r="P184" s="75" t="str">
        <f aca="false">IF($C184=0,"",IF($C184&lt;Parametros!$B$27,"EVIDENCIA INSUFICIENTE",IF(AND($D184&lt;&gt;"",$C184&lt;$D184*Parametros!$B$28),"BAJO % MUESTREO",IF($J184&lt;Parametros!$B$31,"POCOS EVALUADORES","VALIDA"))))</f>
        <v/>
      </c>
    </row>
    <row r="185" customFormat="false" ht="15" hidden="false" customHeight="true" outlineLevel="0" collapsed="false">
      <c r="A185" s="72"/>
      <c r="B185" s="13" t="str">
        <f aca="false">IFERROR(INDEX('Registro de Fichas'!$E$7:$E$1200,MATCH($A185,'Registro de Fichas'!$D$7:$D$1200,0)),"")</f>
        <v/>
      </c>
      <c r="C185" s="26" t="n">
        <f aca="false">COUNTIF('Registro de Fichas'!$D$7:$D$1200,$A185)</f>
        <v>0</v>
      </c>
      <c r="D185" s="72"/>
      <c r="E185" s="73" t="str">
        <f aca="false">IFERROR(AVERAGEIF('Registro de Fichas'!$D$7:$D$1200,$A185,'Registro de Fichas'!$G$7:$G$1200),"")</f>
        <v/>
      </c>
      <c r="F185" s="73" t="str">
        <f aca="false">IFERROR(AVERAGEIF('Registro de Fichas'!$D$7:$D$1200,$A185,'Registro de Fichas'!$H$7:$H$1200),"")</f>
        <v/>
      </c>
      <c r="G185" s="73" t="str">
        <f aca="false">IFERROR(AVERAGEIF('Registro de Fichas'!$D$7:$D$1200,$A185,'Registro de Fichas'!$I$7:$I$1200),"")</f>
        <v/>
      </c>
      <c r="H185" s="73" t="str">
        <f aca="false">IFERROR(AVERAGEIF('Registro de Fichas'!$D$7:$D$1200,$A185,'Registro de Fichas'!$J$7:$J$1200),"")</f>
        <v/>
      </c>
      <c r="I185" s="38" t="str">
        <f aca="false">IF($C185=0,"",IF($C185&gt;=Parametros!$B$27,"OK","FALTAN "&amp;(Parametros!$B$27-$C185)))</f>
        <v/>
      </c>
      <c r="J185" s="38" t="str">
        <f aca="false">IF($C185=0,"",SUMIF('Registro de Fichas'!$D$7:$D$1200,$A185,'Registro de Fichas'!$M$7:$M$1200))</f>
        <v/>
      </c>
      <c r="K185" s="26" t="n">
        <f aca="false">COUNTIFS('Registro de Fichas'!$D$7:$D$1200,$A185,'Registro de Fichas'!$K$7:$K$1200,"Contenedores")</f>
        <v>0</v>
      </c>
      <c r="L185" s="26" t="n">
        <f aca="false">COUNTIFS('Registro de Fichas'!$D$7:$D$1200,$A185,'Registro de Fichas'!$K$7:$K$1200,"Granel solido")</f>
        <v>0</v>
      </c>
      <c r="M185" s="26" t="n">
        <f aca="false">COUNTIFS('Registro de Fichas'!$D$7:$D$1200,$A185,'Registro de Fichas'!$K$7:$K$1200,"Carga fraccionada")</f>
        <v>0</v>
      </c>
      <c r="N185" s="26" t="n">
        <f aca="false">COUNTIFS('Registro de Fichas'!$D$7:$D$1200,$A185,'Registro de Fichas'!$K$7:$K$1200,"Big bags")</f>
        <v>0</v>
      </c>
      <c r="O185" s="26" t="n">
        <f aca="false">COUNTIFS('Registro de Fichas'!$D$7:$D$1200,$A185,'Registro de Fichas'!$L$7:$L$1200,"Si")</f>
        <v>0</v>
      </c>
      <c r="P185" s="23" t="str">
        <f aca="false">IF($C185=0,"",IF($C185&lt;Parametros!$B$27,"EVIDENCIA INSUFICIENTE",IF(AND($D185&lt;&gt;"",$C185&lt;$D185*Parametros!$B$28),"BAJO % MUESTREO",IF($J185&lt;Parametros!$B$31,"POCOS EVALUADORES","VALIDA"))))</f>
        <v/>
      </c>
    </row>
    <row r="186" customFormat="false" ht="15" hidden="false" customHeight="true" outlineLevel="0" collapsed="false">
      <c r="A186" s="72"/>
      <c r="B186" s="16" t="str">
        <f aca="false">IFERROR(INDEX('Registro de Fichas'!$E$7:$E$1200,MATCH($A186,'Registro de Fichas'!$D$7:$D$1200,0)),"")</f>
        <v/>
      </c>
      <c r="C186" s="74" t="n">
        <f aca="false">COUNTIF('Registro de Fichas'!$D$7:$D$1200,$A186)</f>
        <v>0</v>
      </c>
      <c r="D186" s="72"/>
      <c r="E186" s="73" t="str">
        <f aca="false">IFERROR(AVERAGEIF('Registro de Fichas'!$D$7:$D$1200,$A186,'Registro de Fichas'!$G$7:$G$1200),"")</f>
        <v/>
      </c>
      <c r="F186" s="73" t="str">
        <f aca="false">IFERROR(AVERAGEIF('Registro de Fichas'!$D$7:$D$1200,$A186,'Registro de Fichas'!$H$7:$H$1200),"")</f>
        <v/>
      </c>
      <c r="G186" s="73" t="str">
        <f aca="false">IFERROR(AVERAGEIF('Registro de Fichas'!$D$7:$D$1200,$A186,'Registro de Fichas'!$I$7:$I$1200),"")</f>
        <v/>
      </c>
      <c r="H186" s="73" t="str">
        <f aca="false">IFERROR(AVERAGEIF('Registro de Fichas'!$D$7:$D$1200,$A186,'Registro de Fichas'!$J$7:$J$1200),"")</f>
        <v/>
      </c>
      <c r="I186" s="56" t="str">
        <f aca="false">IF($C186=0,"",IF($C186&gt;=Parametros!$B$27,"OK","FALTAN "&amp;(Parametros!$B$27-$C186)))</f>
        <v/>
      </c>
      <c r="J186" s="56" t="str">
        <f aca="false">IF($C186=0,"",SUMIF('Registro de Fichas'!$D$7:$D$1200,$A186,'Registro de Fichas'!$M$7:$M$1200))</f>
        <v/>
      </c>
      <c r="K186" s="74" t="n">
        <f aca="false">COUNTIFS('Registro de Fichas'!$D$7:$D$1200,$A186,'Registro de Fichas'!$K$7:$K$1200,"Contenedores")</f>
        <v>0</v>
      </c>
      <c r="L186" s="74" t="n">
        <f aca="false">COUNTIFS('Registro de Fichas'!$D$7:$D$1200,$A186,'Registro de Fichas'!$K$7:$K$1200,"Granel solido")</f>
        <v>0</v>
      </c>
      <c r="M186" s="74" t="n">
        <f aca="false">COUNTIFS('Registro de Fichas'!$D$7:$D$1200,$A186,'Registro de Fichas'!$K$7:$K$1200,"Carga fraccionada")</f>
        <v>0</v>
      </c>
      <c r="N186" s="74" t="n">
        <f aca="false">COUNTIFS('Registro de Fichas'!$D$7:$D$1200,$A186,'Registro de Fichas'!$K$7:$K$1200,"Big bags")</f>
        <v>0</v>
      </c>
      <c r="O186" s="74" t="n">
        <f aca="false">COUNTIFS('Registro de Fichas'!$D$7:$D$1200,$A186,'Registro de Fichas'!$L$7:$L$1200,"Si")</f>
        <v>0</v>
      </c>
      <c r="P186" s="75" t="str">
        <f aca="false">IF($C186=0,"",IF($C186&lt;Parametros!$B$27,"EVIDENCIA INSUFICIENTE",IF(AND($D186&lt;&gt;"",$C186&lt;$D186*Parametros!$B$28),"BAJO % MUESTREO",IF($J186&lt;Parametros!$B$31,"POCOS EVALUADORES","VALIDA"))))</f>
        <v/>
      </c>
    </row>
    <row r="187" customFormat="false" ht="15" hidden="false" customHeight="true" outlineLevel="0" collapsed="false">
      <c r="A187" s="72"/>
      <c r="B187" s="13" t="str">
        <f aca="false">IFERROR(INDEX('Registro de Fichas'!$E$7:$E$1200,MATCH($A187,'Registro de Fichas'!$D$7:$D$1200,0)),"")</f>
        <v/>
      </c>
      <c r="C187" s="26" t="n">
        <f aca="false">COUNTIF('Registro de Fichas'!$D$7:$D$1200,$A187)</f>
        <v>0</v>
      </c>
      <c r="D187" s="72"/>
      <c r="E187" s="73" t="str">
        <f aca="false">IFERROR(AVERAGEIF('Registro de Fichas'!$D$7:$D$1200,$A187,'Registro de Fichas'!$G$7:$G$1200),"")</f>
        <v/>
      </c>
      <c r="F187" s="73" t="str">
        <f aca="false">IFERROR(AVERAGEIF('Registro de Fichas'!$D$7:$D$1200,$A187,'Registro de Fichas'!$H$7:$H$1200),"")</f>
        <v/>
      </c>
      <c r="G187" s="73" t="str">
        <f aca="false">IFERROR(AVERAGEIF('Registro de Fichas'!$D$7:$D$1200,$A187,'Registro de Fichas'!$I$7:$I$1200),"")</f>
        <v/>
      </c>
      <c r="H187" s="73" t="str">
        <f aca="false">IFERROR(AVERAGEIF('Registro de Fichas'!$D$7:$D$1200,$A187,'Registro de Fichas'!$J$7:$J$1200),"")</f>
        <v/>
      </c>
      <c r="I187" s="38" t="str">
        <f aca="false">IF($C187=0,"",IF($C187&gt;=Parametros!$B$27,"OK","FALTAN "&amp;(Parametros!$B$27-$C187)))</f>
        <v/>
      </c>
      <c r="J187" s="38" t="str">
        <f aca="false">IF($C187=0,"",SUMIF('Registro de Fichas'!$D$7:$D$1200,$A187,'Registro de Fichas'!$M$7:$M$1200))</f>
        <v/>
      </c>
      <c r="K187" s="26" t="n">
        <f aca="false">COUNTIFS('Registro de Fichas'!$D$7:$D$1200,$A187,'Registro de Fichas'!$K$7:$K$1200,"Contenedores")</f>
        <v>0</v>
      </c>
      <c r="L187" s="26" t="n">
        <f aca="false">COUNTIFS('Registro de Fichas'!$D$7:$D$1200,$A187,'Registro de Fichas'!$K$7:$K$1200,"Granel solido")</f>
        <v>0</v>
      </c>
      <c r="M187" s="26" t="n">
        <f aca="false">COUNTIFS('Registro de Fichas'!$D$7:$D$1200,$A187,'Registro de Fichas'!$K$7:$K$1200,"Carga fraccionada")</f>
        <v>0</v>
      </c>
      <c r="N187" s="26" t="n">
        <f aca="false">COUNTIFS('Registro de Fichas'!$D$7:$D$1200,$A187,'Registro de Fichas'!$K$7:$K$1200,"Big bags")</f>
        <v>0</v>
      </c>
      <c r="O187" s="26" t="n">
        <f aca="false">COUNTIFS('Registro de Fichas'!$D$7:$D$1200,$A187,'Registro de Fichas'!$L$7:$L$1200,"Si")</f>
        <v>0</v>
      </c>
      <c r="P187" s="23" t="str">
        <f aca="false">IF($C187=0,"",IF($C187&lt;Parametros!$B$27,"EVIDENCIA INSUFICIENTE",IF(AND($D187&lt;&gt;"",$C187&lt;$D187*Parametros!$B$28),"BAJO % MUESTREO",IF($J187&lt;Parametros!$B$31,"POCOS EVALUADORES","VALIDA"))))</f>
        <v/>
      </c>
    </row>
    <row r="188" customFormat="false" ht="15" hidden="false" customHeight="true" outlineLevel="0" collapsed="false">
      <c r="A188" s="72"/>
      <c r="B188" s="16" t="str">
        <f aca="false">IFERROR(INDEX('Registro de Fichas'!$E$7:$E$1200,MATCH($A188,'Registro de Fichas'!$D$7:$D$1200,0)),"")</f>
        <v/>
      </c>
      <c r="C188" s="74" t="n">
        <f aca="false">COUNTIF('Registro de Fichas'!$D$7:$D$1200,$A188)</f>
        <v>0</v>
      </c>
      <c r="D188" s="72"/>
      <c r="E188" s="73" t="str">
        <f aca="false">IFERROR(AVERAGEIF('Registro de Fichas'!$D$7:$D$1200,$A188,'Registro de Fichas'!$G$7:$G$1200),"")</f>
        <v/>
      </c>
      <c r="F188" s="73" t="str">
        <f aca="false">IFERROR(AVERAGEIF('Registro de Fichas'!$D$7:$D$1200,$A188,'Registro de Fichas'!$H$7:$H$1200),"")</f>
        <v/>
      </c>
      <c r="G188" s="73" t="str">
        <f aca="false">IFERROR(AVERAGEIF('Registro de Fichas'!$D$7:$D$1200,$A188,'Registro de Fichas'!$I$7:$I$1200),"")</f>
        <v/>
      </c>
      <c r="H188" s="73" t="str">
        <f aca="false">IFERROR(AVERAGEIF('Registro de Fichas'!$D$7:$D$1200,$A188,'Registro de Fichas'!$J$7:$J$1200),"")</f>
        <v/>
      </c>
      <c r="I188" s="56" t="str">
        <f aca="false">IF($C188=0,"",IF($C188&gt;=Parametros!$B$27,"OK","FALTAN "&amp;(Parametros!$B$27-$C188)))</f>
        <v/>
      </c>
      <c r="J188" s="56" t="str">
        <f aca="false">IF($C188=0,"",SUMIF('Registro de Fichas'!$D$7:$D$1200,$A188,'Registro de Fichas'!$M$7:$M$1200))</f>
        <v/>
      </c>
      <c r="K188" s="74" t="n">
        <f aca="false">COUNTIFS('Registro de Fichas'!$D$7:$D$1200,$A188,'Registro de Fichas'!$K$7:$K$1200,"Contenedores")</f>
        <v>0</v>
      </c>
      <c r="L188" s="74" t="n">
        <f aca="false">COUNTIFS('Registro de Fichas'!$D$7:$D$1200,$A188,'Registro de Fichas'!$K$7:$K$1200,"Granel solido")</f>
        <v>0</v>
      </c>
      <c r="M188" s="74" t="n">
        <f aca="false">COUNTIFS('Registro de Fichas'!$D$7:$D$1200,$A188,'Registro de Fichas'!$K$7:$K$1200,"Carga fraccionada")</f>
        <v>0</v>
      </c>
      <c r="N188" s="74" t="n">
        <f aca="false">COUNTIFS('Registro de Fichas'!$D$7:$D$1200,$A188,'Registro de Fichas'!$K$7:$K$1200,"Big bags")</f>
        <v>0</v>
      </c>
      <c r="O188" s="74" t="n">
        <f aca="false">COUNTIFS('Registro de Fichas'!$D$7:$D$1200,$A188,'Registro de Fichas'!$L$7:$L$1200,"Si")</f>
        <v>0</v>
      </c>
      <c r="P188" s="75" t="str">
        <f aca="false">IF($C188=0,"",IF($C188&lt;Parametros!$B$27,"EVIDENCIA INSUFICIENTE",IF(AND($D188&lt;&gt;"",$C188&lt;$D188*Parametros!$B$28),"BAJO % MUESTREO",IF($J188&lt;Parametros!$B$31,"POCOS EVALUADORES","VALIDA"))))</f>
        <v/>
      </c>
    </row>
    <row r="189" customFormat="false" ht="15" hidden="false" customHeight="true" outlineLevel="0" collapsed="false">
      <c r="A189" s="72"/>
      <c r="B189" s="13" t="str">
        <f aca="false">IFERROR(INDEX('Registro de Fichas'!$E$7:$E$1200,MATCH($A189,'Registro de Fichas'!$D$7:$D$1200,0)),"")</f>
        <v/>
      </c>
      <c r="C189" s="26" t="n">
        <f aca="false">COUNTIF('Registro de Fichas'!$D$7:$D$1200,$A189)</f>
        <v>0</v>
      </c>
      <c r="D189" s="72"/>
      <c r="E189" s="73" t="str">
        <f aca="false">IFERROR(AVERAGEIF('Registro de Fichas'!$D$7:$D$1200,$A189,'Registro de Fichas'!$G$7:$G$1200),"")</f>
        <v/>
      </c>
      <c r="F189" s="73" t="str">
        <f aca="false">IFERROR(AVERAGEIF('Registro de Fichas'!$D$7:$D$1200,$A189,'Registro de Fichas'!$H$7:$H$1200),"")</f>
        <v/>
      </c>
      <c r="G189" s="73" t="str">
        <f aca="false">IFERROR(AVERAGEIF('Registro de Fichas'!$D$7:$D$1200,$A189,'Registro de Fichas'!$I$7:$I$1200),"")</f>
        <v/>
      </c>
      <c r="H189" s="73" t="str">
        <f aca="false">IFERROR(AVERAGEIF('Registro de Fichas'!$D$7:$D$1200,$A189,'Registro de Fichas'!$J$7:$J$1200),"")</f>
        <v/>
      </c>
      <c r="I189" s="38" t="str">
        <f aca="false">IF($C189=0,"",IF($C189&gt;=Parametros!$B$27,"OK","FALTAN "&amp;(Parametros!$B$27-$C189)))</f>
        <v/>
      </c>
      <c r="J189" s="38" t="str">
        <f aca="false">IF($C189=0,"",SUMIF('Registro de Fichas'!$D$7:$D$1200,$A189,'Registro de Fichas'!$M$7:$M$1200))</f>
        <v/>
      </c>
      <c r="K189" s="26" t="n">
        <f aca="false">COUNTIFS('Registro de Fichas'!$D$7:$D$1200,$A189,'Registro de Fichas'!$K$7:$K$1200,"Contenedores")</f>
        <v>0</v>
      </c>
      <c r="L189" s="26" t="n">
        <f aca="false">COUNTIFS('Registro de Fichas'!$D$7:$D$1200,$A189,'Registro de Fichas'!$K$7:$K$1200,"Granel solido")</f>
        <v>0</v>
      </c>
      <c r="M189" s="26" t="n">
        <f aca="false">COUNTIFS('Registro de Fichas'!$D$7:$D$1200,$A189,'Registro de Fichas'!$K$7:$K$1200,"Carga fraccionada")</f>
        <v>0</v>
      </c>
      <c r="N189" s="26" t="n">
        <f aca="false">COUNTIFS('Registro de Fichas'!$D$7:$D$1200,$A189,'Registro de Fichas'!$K$7:$K$1200,"Big bags")</f>
        <v>0</v>
      </c>
      <c r="O189" s="26" t="n">
        <f aca="false">COUNTIFS('Registro de Fichas'!$D$7:$D$1200,$A189,'Registro de Fichas'!$L$7:$L$1200,"Si")</f>
        <v>0</v>
      </c>
      <c r="P189" s="23" t="str">
        <f aca="false">IF($C189=0,"",IF($C189&lt;Parametros!$B$27,"EVIDENCIA INSUFICIENTE",IF(AND($D189&lt;&gt;"",$C189&lt;$D189*Parametros!$B$28),"BAJO % MUESTREO",IF($J189&lt;Parametros!$B$31,"POCOS EVALUADORES","VALIDA"))))</f>
        <v/>
      </c>
    </row>
    <row r="190" customFormat="false" ht="15" hidden="false" customHeight="true" outlineLevel="0" collapsed="false">
      <c r="A190" s="72"/>
      <c r="B190" s="16" t="str">
        <f aca="false">IFERROR(INDEX('Registro de Fichas'!$E$7:$E$1200,MATCH($A190,'Registro de Fichas'!$D$7:$D$1200,0)),"")</f>
        <v/>
      </c>
      <c r="C190" s="74" t="n">
        <f aca="false">COUNTIF('Registro de Fichas'!$D$7:$D$1200,$A190)</f>
        <v>0</v>
      </c>
      <c r="D190" s="72"/>
      <c r="E190" s="73" t="str">
        <f aca="false">IFERROR(AVERAGEIF('Registro de Fichas'!$D$7:$D$1200,$A190,'Registro de Fichas'!$G$7:$G$1200),"")</f>
        <v/>
      </c>
      <c r="F190" s="73" t="str">
        <f aca="false">IFERROR(AVERAGEIF('Registro de Fichas'!$D$7:$D$1200,$A190,'Registro de Fichas'!$H$7:$H$1200),"")</f>
        <v/>
      </c>
      <c r="G190" s="73" t="str">
        <f aca="false">IFERROR(AVERAGEIF('Registro de Fichas'!$D$7:$D$1200,$A190,'Registro de Fichas'!$I$7:$I$1200),"")</f>
        <v/>
      </c>
      <c r="H190" s="73" t="str">
        <f aca="false">IFERROR(AVERAGEIF('Registro de Fichas'!$D$7:$D$1200,$A190,'Registro de Fichas'!$J$7:$J$1200),"")</f>
        <v/>
      </c>
      <c r="I190" s="56" t="str">
        <f aca="false">IF($C190=0,"",IF($C190&gt;=Parametros!$B$27,"OK","FALTAN "&amp;(Parametros!$B$27-$C190)))</f>
        <v/>
      </c>
      <c r="J190" s="56" t="str">
        <f aca="false">IF($C190=0,"",SUMIF('Registro de Fichas'!$D$7:$D$1200,$A190,'Registro de Fichas'!$M$7:$M$1200))</f>
        <v/>
      </c>
      <c r="K190" s="74" t="n">
        <f aca="false">COUNTIFS('Registro de Fichas'!$D$7:$D$1200,$A190,'Registro de Fichas'!$K$7:$K$1200,"Contenedores")</f>
        <v>0</v>
      </c>
      <c r="L190" s="74" t="n">
        <f aca="false">COUNTIFS('Registro de Fichas'!$D$7:$D$1200,$A190,'Registro de Fichas'!$K$7:$K$1200,"Granel solido")</f>
        <v>0</v>
      </c>
      <c r="M190" s="74" t="n">
        <f aca="false">COUNTIFS('Registro de Fichas'!$D$7:$D$1200,$A190,'Registro de Fichas'!$K$7:$K$1200,"Carga fraccionada")</f>
        <v>0</v>
      </c>
      <c r="N190" s="74" t="n">
        <f aca="false">COUNTIFS('Registro de Fichas'!$D$7:$D$1200,$A190,'Registro de Fichas'!$K$7:$K$1200,"Big bags")</f>
        <v>0</v>
      </c>
      <c r="O190" s="74" t="n">
        <f aca="false">COUNTIFS('Registro de Fichas'!$D$7:$D$1200,$A190,'Registro de Fichas'!$L$7:$L$1200,"Si")</f>
        <v>0</v>
      </c>
      <c r="P190" s="75" t="str">
        <f aca="false">IF($C190=0,"",IF($C190&lt;Parametros!$B$27,"EVIDENCIA INSUFICIENTE",IF(AND($D190&lt;&gt;"",$C190&lt;$D190*Parametros!$B$28),"BAJO % MUESTREO",IF($J190&lt;Parametros!$B$31,"POCOS EVALUADORES","VALIDA"))))</f>
        <v/>
      </c>
    </row>
    <row r="191" customFormat="false" ht="15" hidden="false" customHeight="true" outlineLevel="0" collapsed="false">
      <c r="A191" s="72"/>
      <c r="B191" s="13" t="str">
        <f aca="false">IFERROR(INDEX('Registro de Fichas'!$E$7:$E$1200,MATCH($A191,'Registro de Fichas'!$D$7:$D$1200,0)),"")</f>
        <v/>
      </c>
      <c r="C191" s="26" t="n">
        <f aca="false">COUNTIF('Registro de Fichas'!$D$7:$D$1200,$A191)</f>
        <v>0</v>
      </c>
      <c r="D191" s="72"/>
      <c r="E191" s="73" t="str">
        <f aca="false">IFERROR(AVERAGEIF('Registro de Fichas'!$D$7:$D$1200,$A191,'Registro de Fichas'!$G$7:$G$1200),"")</f>
        <v/>
      </c>
      <c r="F191" s="73" t="str">
        <f aca="false">IFERROR(AVERAGEIF('Registro de Fichas'!$D$7:$D$1200,$A191,'Registro de Fichas'!$H$7:$H$1200),"")</f>
        <v/>
      </c>
      <c r="G191" s="73" t="str">
        <f aca="false">IFERROR(AVERAGEIF('Registro de Fichas'!$D$7:$D$1200,$A191,'Registro de Fichas'!$I$7:$I$1200),"")</f>
        <v/>
      </c>
      <c r="H191" s="73" t="str">
        <f aca="false">IFERROR(AVERAGEIF('Registro de Fichas'!$D$7:$D$1200,$A191,'Registro de Fichas'!$J$7:$J$1200),"")</f>
        <v/>
      </c>
      <c r="I191" s="38" t="str">
        <f aca="false">IF($C191=0,"",IF($C191&gt;=Parametros!$B$27,"OK","FALTAN "&amp;(Parametros!$B$27-$C191)))</f>
        <v/>
      </c>
      <c r="J191" s="38" t="str">
        <f aca="false">IF($C191=0,"",SUMIF('Registro de Fichas'!$D$7:$D$1200,$A191,'Registro de Fichas'!$M$7:$M$1200))</f>
        <v/>
      </c>
      <c r="K191" s="26" t="n">
        <f aca="false">COUNTIFS('Registro de Fichas'!$D$7:$D$1200,$A191,'Registro de Fichas'!$K$7:$K$1200,"Contenedores")</f>
        <v>0</v>
      </c>
      <c r="L191" s="26" t="n">
        <f aca="false">COUNTIFS('Registro de Fichas'!$D$7:$D$1200,$A191,'Registro de Fichas'!$K$7:$K$1200,"Granel solido")</f>
        <v>0</v>
      </c>
      <c r="M191" s="26" t="n">
        <f aca="false">COUNTIFS('Registro de Fichas'!$D$7:$D$1200,$A191,'Registro de Fichas'!$K$7:$K$1200,"Carga fraccionada")</f>
        <v>0</v>
      </c>
      <c r="N191" s="26" t="n">
        <f aca="false">COUNTIFS('Registro de Fichas'!$D$7:$D$1200,$A191,'Registro de Fichas'!$K$7:$K$1200,"Big bags")</f>
        <v>0</v>
      </c>
      <c r="O191" s="26" t="n">
        <f aca="false">COUNTIFS('Registro de Fichas'!$D$7:$D$1200,$A191,'Registro de Fichas'!$L$7:$L$1200,"Si")</f>
        <v>0</v>
      </c>
      <c r="P191" s="23" t="str">
        <f aca="false">IF($C191=0,"",IF($C191&lt;Parametros!$B$27,"EVIDENCIA INSUFICIENTE",IF(AND($D191&lt;&gt;"",$C191&lt;$D191*Parametros!$B$28),"BAJO % MUESTREO",IF($J191&lt;Parametros!$B$31,"POCOS EVALUADORES","VALIDA"))))</f>
        <v/>
      </c>
    </row>
    <row r="192" customFormat="false" ht="15" hidden="false" customHeight="true" outlineLevel="0" collapsed="false">
      <c r="A192" s="72"/>
      <c r="B192" s="16" t="str">
        <f aca="false">IFERROR(INDEX('Registro de Fichas'!$E$7:$E$1200,MATCH($A192,'Registro de Fichas'!$D$7:$D$1200,0)),"")</f>
        <v/>
      </c>
      <c r="C192" s="74" t="n">
        <f aca="false">COUNTIF('Registro de Fichas'!$D$7:$D$1200,$A192)</f>
        <v>0</v>
      </c>
      <c r="D192" s="72"/>
      <c r="E192" s="73" t="str">
        <f aca="false">IFERROR(AVERAGEIF('Registro de Fichas'!$D$7:$D$1200,$A192,'Registro de Fichas'!$G$7:$G$1200),"")</f>
        <v/>
      </c>
      <c r="F192" s="73" t="str">
        <f aca="false">IFERROR(AVERAGEIF('Registro de Fichas'!$D$7:$D$1200,$A192,'Registro de Fichas'!$H$7:$H$1200),"")</f>
        <v/>
      </c>
      <c r="G192" s="73" t="str">
        <f aca="false">IFERROR(AVERAGEIF('Registro de Fichas'!$D$7:$D$1200,$A192,'Registro de Fichas'!$I$7:$I$1200),"")</f>
        <v/>
      </c>
      <c r="H192" s="73" t="str">
        <f aca="false">IFERROR(AVERAGEIF('Registro de Fichas'!$D$7:$D$1200,$A192,'Registro de Fichas'!$J$7:$J$1200),"")</f>
        <v/>
      </c>
      <c r="I192" s="56" t="str">
        <f aca="false">IF($C192=0,"",IF($C192&gt;=Parametros!$B$27,"OK","FALTAN "&amp;(Parametros!$B$27-$C192)))</f>
        <v/>
      </c>
      <c r="J192" s="56" t="str">
        <f aca="false">IF($C192=0,"",SUMIF('Registro de Fichas'!$D$7:$D$1200,$A192,'Registro de Fichas'!$M$7:$M$1200))</f>
        <v/>
      </c>
      <c r="K192" s="74" t="n">
        <f aca="false">COUNTIFS('Registro de Fichas'!$D$7:$D$1200,$A192,'Registro de Fichas'!$K$7:$K$1200,"Contenedores")</f>
        <v>0</v>
      </c>
      <c r="L192" s="74" t="n">
        <f aca="false">COUNTIFS('Registro de Fichas'!$D$7:$D$1200,$A192,'Registro de Fichas'!$K$7:$K$1200,"Granel solido")</f>
        <v>0</v>
      </c>
      <c r="M192" s="74" t="n">
        <f aca="false">COUNTIFS('Registro de Fichas'!$D$7:$D$1200,$A192,'Registro de Fichas'!$K$7:$K$1200,"Carga fraccionada")</f>
        <v>0</v>
      </c>
      <c r="N192" s="74" t="n">
        <f aca="false">COUNTIFS('Registro de Fichas'!$D$7:$D$1200,$A192,'Registro de Fichas'!$K$7:$K$1200,"Big bags")</f>
        <v>0</v>
      </c>
      <c r="O192" s="74" t="n">
        <f aca="false">COUNTIFS('Registro de Fichas'!$D$7:$D$1200,$A192,'Registro de Fichas'!$L$7:$L$1200,"Si")</f>
        <v>0</v>
      </c>
      <c r="P192" s="75" t="str">
        <f aca="false">IF($C192=0,"",IF($C192&lt;Parametros!$B$27,"EVIDENCIA INSUFICIENTE",IF(AND($D192&lt;&gt;"",$C192&lt;$D192*Parametros!$B$28),"BAJO % MUESTREO",IF($J192&lt;Parametros!$B$31,"POCOS EVALUADORES","VALIDA"))))</f>
        <v/>
      </c>
    </row>
    <row r="193" customFormat="false" ht="15" hidden="false" customHeight="true" outlineLevel="0" collapsed="false">
      <c r="A193" s="72"/>
      <c r="B193" s="13" t="str">
        <f aca="false">IFERROR(INDEX('Registro de Fichas'!$E$7:$E$1200,MATCH($A193,'Registro de Fichas'!$D$7:$D$1200,0)),"")</f>
        <v/>
      </c>
      <c r="C193" s="26" t="n">
        <f aca="false">COUNTIF('Registro de Fichas'!$D$7:$D$1200,$A193)</f>
        <v>0</v>
      </c>
      <c r="D193" s="72"/>
      <c r="E193" s="73" t="str">
        <f aca="false">IFERROR(AVERAGEIF('Registro de Fichas'!$D$7:$D$1200,$A193,'Registro de Fichas'!$G$7:$G$1200),"")</f>
        <v/>
      </c>
      <c r="F193" s="73" t="str">
        <f aca="false">IFERROR(AVERAGEIF('Registro de Fichas'!$D$7:$D$1200,$A193,'Registro de Fichas'!$H$7:$H$1200),"")</f>
        <v/>
      </c>
      <c r="G193" s="73" t="str">
        <f aca="false">IFERROR(AVERAGEIF('Registro de Fichas'!$D$7:$D$1200,$A193,'Registro de Fichas'!$I$7:$I$1200),"")</f>
        <v/>
      </c>
      <c r="H193" s="73" t="str">
        <f aca="false">IFERROR(AVERAGEIF('Registro de Fichas'!$D$7:$D$1200,$A193,'Registro de Fichas'!$J$7:$J$1200),"")</f>
        <v/>
      </c>
      <c r="I193" s="38" t="str">
        <f aca="false">IF($C193=0,"",IF($C193&gt;=Parametros!$B$27,"OK","FALTAN "&amp;(Parametros!$B$27-$C193)))</f>
        <v/>
      </c>
      <c r="J193" s="38" t="str">
        <f aca="false">IF($C193=0,"",SUMIF('Registro de Fichas'!$D$7:$D$1200,$A193,'Registro de Fichas'!$M$7:$M$1200))</f>
        <v/>
      </c>
      <c r="K193" s="26" t="n">
        <f aca="false">COUNTIFS('Registro de Fichas'!$D$7:$D$1200,$A193,'Registro de Fichas'!$K$7:$K$1200,"Contenedores")</f>
        <v>0</v>
      </c>
      <c r="L193" s="26" t="n">
        <f aca="false">COUNTIFS('Registro de Fichas'!$D$7:$D$1200,$A193,'Registro de Fichas'!$K$7:$K$1200,"Granel solido")</f>
        <v>0</v>
      </c>
      <c r="M193" s="26" t="n">
        <f aca="false">COUNTIFS('Registro de Fichas'!$D$7:$D$1200,$A193,'Registro de Fichas'!$K$7:$K$1200,"Carga fraccionada")</f>
        <v>0</v>
      </c>
      <c r="N193" s="26" t="n">
        <f aca="false">COUNTIFS('Registro de Fichas'!$D$7:$D$1200,$A193,'Registro de Fichas'!$K$7:$K$1200,"Big bags")</f>
        <v>0</v>
      </c>
      <c r="O193" s="26" t="n">
        <f aca="false">COUNTIFS('Registro de Fichas'!$D$7:$D$1200,$A193,'Registro de Fichas'!$L$7:$L$1200,"Si")</f>
        <v>0</v>
      </c>
      <c r="P193" s="23" t="str">
        <f aca="false">IF($C193=0,"",IF($C193&lt;Parametros!$B$27,"EVIDENCIA INSUFICIENTE",IF(AND($D193&lt;&gt;"",$C193&lt;$D193*Parametros!$B$28),"BAJO % MUESTREO",IF($J193&lt;Parametros!$B$31,"POCOS EVALUADORES","VALIDA"))))</f>
        <v/>
      </c>
    </row>
    <row r="194" customFormat="false" ht="15" hidden="false" customHeight="true" outlineLevel="0" collapsed="false">
      <c r="A194" s="72"/>
      <c r="B194" s="16" t="str">
        <f aca="false">IFERROR(INDEX('Registro de Fichas'!$E$7:$E$1200,MATCH($A194,'Registro de Fichas'!$D$7:$D$1200,0)),"")</f>
        <v/>
      </c>
      <c r="C194" s="74" t="n">
        <f aca="false">COUNTIF('Registro de Fichas'!$D$7:$D$1200,$A194)</f>
        <v>0</v>
      </c>
      <c r="D194" s="72"/>
      <c r="E194" s="73" t="str">
        <f aca="false">IFERROR(AVERAGEIF('Registro de Fichas'!$D$7:$D$1200,$A194,'Registro de Fichas'!$G$7:$G$1200),"")</f>
        <v/>
      </c>
      <c r="F194" s="73" t="str">
        <f aca="false">IFERROR(AVERAGEIF('Registro de Fichas'!$D$7:$D$1200,$A194,'Registro de Fichas'!$H$7:$H$1200),"")</f>
        <v/>
      </c>
      <c r="G194" s="73" t="str">
        <f aca="false">IFERROR(AVERAGEIF('Registro de Fichas'!$D$7:$D$1200,$A194,'Registro de Fichas'!$I$7:$I$1200),"")</f>
        <v/>
      </c>
      <c r="H194" s="73" t="str">
        <f aca="false">IFERROR(AVERAGEIF('Registro de Fichas'!$D$7:$D$1200,$A194,'Registro de Fichas'!$J$7:$J$1200),"")</f>
        <v/>
      </c>
      <c r="I194" s="56" t="str">
        <f aca="false">IF($C194=0,"",IF($C194&gt;=Parametros!$B$27,"OK","FALTAN "&amp;(Parametros!$B$27-$C194)))</f>
        <v/>
      </c>
      <c r="J194" s="56" t="str">
        <f aca="false">IF($C194=0,"",SUMIF('Registro de Fichas'!$D$7:$D$1200,$A194,'Registro de Fichas'!$M$7:$M$1200))</f>
        <v/>
      </c>
      <c r="K194" s="74" t="n">
        <f aca="false">COUNTIFS('Registro de Fichas'!$D$7:$D$1200,$A194,'Registro de Fichas'!$K$7:$K$1200,"Contenedores")</f>
        <v>0</v>
      </c>
      <c r="L194" s="74" t="n">
        <f aca="false">COUNTIFS('Registro de Fichas'!$D$7:$D$1200,$A194,'Registro de Fichas'!$K$7:$K$1200,"Granel solido")</f>
        <v>0</v>
      </c>
      <c r="M194" s="74" t="n">
        <f aca="false">COUNTIFS('Registro de Fichas'!$D$7:$D$1200,$A194,'Registro de Fichas'!$K$7:$K$1200,"Carga fraccionada")</f>
        <v>0</v>
      </c>
      <c r="N194" s="74" t="n">
        <f aca="false">COUNTIFS('Registro de Fichas'!$D$7:$D$1200,$A194,'Registro de Fichas'!$K$7:$K$1200,"Big bags")</f>
        <v>0</v>
      </c>
      <c r="O194" s="74" t="n">
        <f aca="false">COUNTIFS('Registro de Fichas'!$D$7:$D$1200,$A194,'Registro de Fichas'!$L$7:$L$1200,"Si")</f>
        <v>0</v>
      </c>
      <c r="P194" s="75" t="str">
        <f aca="false">IF($C194=0,"",IF($C194&lt;Parametros!$B$27,"EVIDENCIA INSUFICIENTE",IF(AND($D194&lt;&gt;"",$C194&lt;$D194*Parametros!$B$28),"BAJO % MUESTREO",IF($J194&lt;Parametros!$B$31,"POCOS EVALUADORES","VALIDA"))))</f>
        <v/>
      </c>
    </row>
    <row r="195" customFormat="false" ht="15" hidden="false" customHeight="true" outlineLevel="0" collapsed="false">
      <c r="A195" s="72"/>
      <c r="B195" s="13" t="str">
        <f aca="false">IFERROR(INDEX('Registro de Fichas'!$E$7:$E$1200,MATCH($A195,'Registro de Fichas'!$D$7:$D$1200,0)),"")</f>
        <v/>
      </c>
      <c r="C195" s="26" t="n">
        <f aca="false">COUNTIF('Registro de Fichas'!$D$7:$D$1200,$A195)</f>
        <v>0</v>
      </c>
      <c r="D195" s="72"/>
      <c r="E195" s="73" t="str">
        <f aca="false">IFERROR(AVERAGEIF('Registro de Fichas'!$D$7:$D$1200,$A195,'Registro de Fichas'!$G$7:$G$1200),"")</f>
        <v/>
      </c>
      <c r="F195" s="73" t="str">
        <f aca="false">IFERROR(AVERAGEIF('Registro de Fichas'!$D$7:$D$1200,$A195,'Registro de Fichas'!$H$7:$H$1200),"")</f>
        <v/>
      </c>
      <c r="G195" s="73" t="str">
        <f aca="false">IFERROR(AVERAGEIF('Registro de Fichas'!$D$7:$D$1200,$A195,'Registro de Fichas'!$I$7:$I$1200),"")</f>
        <v/>
      </c>
      <c r="H195" s="73" t="str">
        <f aca="false">IFERROR(AVERAGEIF('Registro de Fichas'!$D$7:$D$1200,$A195,'Registro de Fichas'!$J$7:$J$1200),"")</f>
        <v/>
      </c>
      <c r="I195" s="38" t="str">
        <f aca="false">IF($C195=0,"",IF($C195&gt;=Parametros!$B$27,"OK","FALTAN "&amp;(Parametros!$B$27-$C195)))</f>
        <v/>
      </c>
      <c r="J195" s="38" t="str">
        <f aca="false">IF($C195=0,"",SUMIF('Registro de Fichas'!$D$7:$D$1200,$A195,'Registro de Fichas'!$M$7:$M$1200))</f>
        <v/>
      </c>
      <c r="K195" s="26" t="n">
        <f aca="false">COUNTIFS('Registro de Fichas'!$D$7:$D$1200,$A195,'Registro de Fichas'!$K$7:$K$1200,"Contenedores")</f>
        <v>0</v>
      </c>
      <c r="L195" s="26" t="n">
        <f aca="false">COUNTIFS('Registro de Fichas'!$D$7:$D$1200,$A195,'Registro de Fichas'!$K$7:$K$1200,"Granel solido")</f>
        <v>0</v>
      </c>
      <c r="M195" s="26" t="n">
        <f aca="false">COUNTIFS('Registro de Fichas'!$D$7:$D$1200,$A195,'Registro de Fichas'!$K$7:$K$1200,"Carga fraccionada")</f>
        <v>0</v>
      </c>
      <c r="N195" s="26" t="n">
        <f aca="false">COUNTIFS('Registro de Fichas'!$D$7:$D$1200,$A195,'Registro de Fichas'!$K$7:$K$1200,"Big bags")</f>
        <v>0</v>
      </c>
      <c r="O195" s="26" t="n">
        <f aca="false">COUNTIFS('Registro de Fichas'!$D$7:$D$1200,$A195,'Registro de Fichas'!$L$7:$L$1200,"Si")</f>
        <v>0</v>
      </c>
      <c r="P195" s="23" t="str">
        <f aca="false">IF($C195=0,"",IF($C195&lt;Parametros!$B$27,"EVIDENCIA INSUFICIENTE",IF(AND($D195&lt;&gt;"",$C195&lt;$D195*Parametros!$B$28),"BAJO % MUESTREO",IF($J195&lt;Parametros!$B$31,"POCOS EVALUADORES","VALIDA"))))</f>
        <v/>
      </c>
    </row>
    <row r="196" customFormat="false" ht="15" hidden="false" customHeight="true" outlineLevel="0" collapsed="false">
      <c r="A196" s="72"/>
      <c r="B196" s="16" t="str">
        <f aca="false">IFERROR(INDEX('Registro de Fichas'!$E$7:$E$1200,MATCH($A196,'Registro de Fichas'!$D$7:$D$1200,0)),"")</f>
        <v/>
      </c>
      <c r="C196" s="74" t="n">
        <f aca="false">COUNTIF('Registro de Fichas'!$D$7:$D$1200,$A196)</f>
        <v>0</v>
      </c>
      <c r="D196" s="72"/>
      <c r="E196" s="73" t="str">
        <f aca="false">IFERROR(AVERAGEIF('Registro de Fichas'!$D$7:$D$1200,$A196,'Registro de Fichas'!$G$7:$G$1200),"")</f>
        <v/>
      </c>
      <c r="F196" s="73" t="str">
        <f aca="false">IFERROR(AVERAGEIF('Registro de Fichas'!$D$7:$D$1200,$A196,'Registro de Fichas'!$H$7:$H$1200),"")</f>
        <v/>
      </c>
      <c r="G196" s="73" t="str">
        <f aca="false">IFERROR(AVERAGEIF('Registro de Fichas'!$D$7:$D$1200,$A196,'Registro de Fichas'!$I$7:$I$1200),"")</f>
        <v/>
      </c>
      <c r="H196" s="73" t="str">
        <f aca="false">IFERROR(AVERAGEIF('Registro de Fichas'!$D$7:$D$1200,$A196,'Registro de Fichas'!$J$7:$J$1200),"")</f>
        <v/>
      </c>
      <c r="I196" s="56" t="str">
        <f aca="false">IF($C196=0,"",IF($C196&gt;=Parametros!$B$27,"OK","FALTAN "&amp;(Parametros!$B$27-$C196)))</f>
        <v/>
      </c>
      <c r="J196" s="56" t="str">
        <f aca="false">IF($C196=0,"",SUMIF('Registro de Fichas'!$D$7:$D$1200,$A196,'Registro de Fichas'!$M$7:$M$1200))</f>
        <v/>
      </c>
      <c r="K196" s="74" t="n">
        <f aca="false">COUNTIFS('Registro de Fichas'!$D$7:$D$1200,$A196,'Registro de Fichas'!$K$7:$K$1200,"Contenedores")</f>
        <v>0</v>
      </c>
      <c r="L196" s="74" t="n">
        <f aca="false">COUNTIFS('Registro de Fichas'!$D$7:$D$1200,$A196,'Registro de Fichas'!$K$7:$K$1200,"Granel solido")</f>
        <v>0</v>
      </c>
      <c r="M196" s="74" t="n">
        <f aca="false">COUNTIFS('Registro de Fichas'!$D$7:$D$1200,$A196,'Registro de Fichas'!$K$7:$K$1200,"Carga fraccionada")</f>
        <v>0</v>
      </c>
      <c r="N196" s="74" t="n">
        <f aca="false">COUNTIFS('Registro de Fichas'!$D$7:$D$1200,$A196,'Registro de Fichas'!$K$7:$K$1200,"Big bags")</f>
        <v>0</v>
      </c>
      <c r="O196" s="74" t="n">
        <f aca="false">COUNTIFS('Registro de Fichas'!$D$7:$D$1200,$A196,'Registro de Fichas'!$L$7:$L$1200,"Si")</f>
        <v>0</v>
      </c>
      <c r="P196" s="75" t="str">
        <f aca="false">IF($C196=0,"",IF($C196&lt;Parametros!$B$27,"EVIDENCIA INSUFICIENTE",IF(AND($D196&lt;&gt;"",$C196&lt;$D196*Parametros!$B$28),"BAJO % MUESTREO",IF($J196&lt;Parametros!$B$31,"POCOS EVALUADORES","VALIDA"))))</f>
        <v/>
      </c>
    </row>
    <row r="197" customFormat="false" ht="15" hidden="false" customHeight="true" outlineLevel="0" collapsed="false">
      <c r="A197" s="72"/>
      <c r="B197" s="13" t="str">
        <f aca="false">IFERROR(INDEX('Registro de Fichas'!$E$7:$E$1200,MATCH($A197,'Registro de Fichas'!$D$7:$D$1200,0)),"")</f>
        <v/>
      </c>
      <c r="C197" s="26" t="n">
        <f aca="false">COUNTIF('Registro de Fichas'!$D$7:$D$1200,$A197)</f>
        <v>0</v>
      </c>
      <c r="D197" s="72"/>
      <c r="E197" s="73" t="str">
        <f aca="false">IFERROR(AVERAGEIF('Registro de Fichas'!$D$7:$D$1200,$A197,'Registro de Fichas'!$G$7:$G$1200),"")</f>
        <v/>
      </c>
      <c r="F197" s="73" t="str">
        <f aca="false">IFERROR(AVERAGEIF('Registro de Fichas'!$D$7:$D$1200,$A197,'Registro de Fichas'!$H$7:$H$1200),"")</f>
        <v/>
      </c>
      <c r="G197" s="73" t="str">
        <f aca="false">IFERROR(AVERAGEIF('Registro de Fichas'!$D$7:$D$1200,$A197,'Registro de Fichas'!$I$7:$I$1200),"")</f>
        <v/>
      </c>
      <c r="H197" s="73" t="str">
        <f aca="false">IFERROR(AVERAGEIF('Registro de Fichas'!$D$7:$D$1200,$A197,'Registro de Fichas'!$J$7:$J$1200),"")</f>
        <v/>
      </c>
      <c r="I197" s="38" t="str">
        <f aca="false">IF($C197=0,"",IF($C197&gt;=Parametros!$B$27,"OK","FALTAN "&amp;(Parametros!$B$27-$C197)))</f>
        <v/>
      </c>
      <c r="J197" s="38" t="str">
        <f aca="false">IF($C197=0,"",SUMIF('Registro de Fichas'!$D$7:$D$1200,$A197,'Registro de Fichas'!$M$7:$M$1200))</f>
        <v/>
      </c>
      <c r="K197" s="26" t="n">
        <f aca="false">COUNTIFS('Registro de Fichas'!$D$7:$D$1200,$A197,'Registro de Fichas'!$K$7:$K$1200,"Contenedores")</f>
        <v>0</v>
      </c>
      <c r="L197" s="26" t="n">
        <f aca="false">COUNTIFS('Registro de Fichas'!$D$7:$D$1200,$A197,'Registro de Fichas'!$K$7:$K$1200,"Granel solido")</f>
        <v>0</v>
      </c>
      <c r="M197" s="26" t="n">
        <f aca="false">COUNTIFS('Registro de Fichas'!$D$7:$D$1200,$A197,'Registro de Fichas'!$K$7:$K$1200,"Carga fraccionada")</f>
        <v>0</v>
      </c>
      <c r="N197" s="26" t="n">
        <f aca="false">COUNTIFS('Registro de Fichas'!$D$7:$D$1200,$A197,'Registro de Fichas'!$K$7:$K$1200,"Big bags")</f>
        <v>0</v>
      </c>
      <c r="O197" s="26" t="n">
        <f aca="false">COUNTIFS('Registro de Fichas'!$D$7:$D$1200,$A197,'Registro de Fichas'!$L$7:$L$1200,"Si")</f>
        <v>0</v>
      </c>
      <c r="P197" s="23" t="str">
        <f aca="false">IF($C197=0,"",IF($C197&lt;Parametros!$B$27,"EVIDENCIA INSUFICIENTE",IF(AND($D197&lt;&gt;"",$C197&lt;$D197*Parametros!$B$28),"BAJO % MUESTREO",IF($J197&lt;Parametros!$B$31,"POCOS EVALUADORES","VALIDA"))))</f>
        <v/>
      </c>
    </row>
    <row r="198" customFormat="false" ht="15" hidden="false" customHeight="true" outlineLevel="0" collapsed="false">
      <c r="A198" s="72"/>
      <c r="B198" s="16" t="str">
        <f aca="false">IFERROR(INDEX('Registro de Fichas'!$E$7:$E$1200,MATCH($A198,'Registro de Fichas'!$D$7:$D$1200,0)),"")</f>
        <v/>
      </c>
      <c r="C198" s="74" t="n">
        <f aca="false">COUNTIF('Registro de Fichas'!$D$7:$D$1200,$A198)</f>
        <v>0</v>
      </c>
      <c r="D198" s="72"/>
      <c r="E198" s="73" t="str">
        <f aca="false">IFERROR(AVERAGEIF('Registro de Fichas'!$D$7:$D$1200,$A198,'Registro de Fichas'!$G$7:$G$1200),"")</f>
        <v/>
      </c>
      <c r="F198" s="73" t="str">
        <f aca="false">IFERROR(AVERAGEIF('Registro de Fichas'!$D$7:$D$1200,$A198,'Registro de Fichas'!$H$7:$H$1200),"")</f>
        <v/>
      </c>
      <c r="G198" s="73" t="str">
        <f aca="false">IFERROR(AVERAGEIF('Registro de Fichas'!$D$7:$D$1200,$A198,'Registro de Fichas'!$I$7:$I$1200),"")</f>
        <v/>
      </c>
      <c r="H198" s="73" t="str">
        <f aca="false">IFERROR(AVERAGEIF('Registro de Fichas'!$D$7:$D$1200,$A198,'Registro de Fichas'!$J$7:$J$1200),"")</f>
        <v/>
      </c>
      <c r="I198" s="56" t="str">
        <f aca="false">IF($C198=0,"",IF($C198&gt;=Parametros!$B$27,"OK","FALTAN "&amp;(Parametros!$B$27-$C198)))</f>
        <v/>
      </c>
      <c r="J198" s="56" t="str">
        <f aca="false">IF($C198=0,"",SUMIF('Registro de Fichas'!$D$7:$D$1200,$A198,'Registro de Fichas'!$M$7:$M$1200))</f>
        <v/>
      </c>
      <c r="K198" s="74" t="n">
        <f aca="false">COUNTIFS('Registro de Fichas'!$D$7:$D$1200,$A198,'Registro de Fichas'!$K$7:$K$1200,"Contenedores")</f>
        <v>0</v>
      </c>
      <c r="L198" s="74" t="n">
        <f aca="false">COUNTIFS('Registro de Fichas'!$D$7:$D$1200,$A198,'Registro de Fichas'!$K$7:$K$1200,"Granel solido")</f>
        <v>0</v>
      </c>
      <c r="M198" s="74" t="n">
        <f aca="false">COUNTIFS('Registro de Fichas'!$D$7:$D$1200,$A198,'Registro de Fichas'!$K$7:$K$1200,"Carga fraccionada")</f>
        <v>0</v>
      </c>
      <c r="N198" s="74" t="n">
        <f aca="false">COUNTIFS('Registro de Fichas'!$D$7:$D$1200,$A198,'Registro de Fichas'!$K$7:$K$1200,"Big bags")</f>
        <v>0</v>
      </c>
      <c r="O198" s="74" t="n">
        <f aca="false">COUNTIFS('Registro de Fichas'!$D$7:$D$1200,$A198,'Registro de Fichas'!$L$7:$L$1200,"Si")</f>
        <v>0</v>
      </c>
      <c r="P198" s="75" t="str">
        <f aca="false">IF($C198=0,"",IF($C198&lt;Parametros!$B$27,"EVIDENCIA INSUFICIENTE",IF(AND($D198&lt;&gt;"",$C198&lt;$D198*Parametros!$B$28),"BAJO % MUESTREO",IF($J198&lt;Parametros!$B$31,"POCOS EVALUADORES","VALIDA"))))</f>
        <v/>
      </c>
    </row>
    <row r="199" customFormat="false" ht="15" hidden="false" customHeight="true" outlineLevel="0" collapsed="false">
      <c r="A199" s="72"/>
      <c r="B199" s="13" t="str">
        <f aca="false">IFERROR(INDEX('Registro de Fichas'!$E$7:$E$1200,MATCH($A199,'Registro de Fichas'!$D$7:$D$1200,0)),"")</f>
        <v/>
      </c>
      <c r="C199" s="26" t="n">
        <f aca="false">COUNTIF('Registro de Fichas'!$D$7:$D$1200,$A199)</f>
        <v>0</v>
      </c>
      <c r="D199" s="72"/>
      <c r="E199" s="73" t="str">
        <f aca="false">IFERROR(AVERAGEIF('Registro de Fichas'!$D$7:$D$1200,$A199,'Registro de Fichas'!$G$7:$G$1200),"")</f>
        <v/>
      </c>
      <c r="F199" s="73" t="str">
        <f aca="false">IFERROR(AVERAGEIF('Registro de Fichas'!$D$7:$D$1200,$A199,'Registro de Fichas'!$H$7:$H$1200),"")</f>
        <v/>
      </c>
      <c r="G199" s="73" t="str">
        <f aca="false">IFERROR(AVERAGEIF('Registro de Fichas'!$D$7:$D$1200,$A199,'Registro de Fichas'!$I$7:$I$1200),"")</f>
        <v/>
      </c>
      <c r="H199" s="73" t="str">
        <f aca="false">IFERROR(AVERAGEIF('Registro de Fichas'!$D$7:$D$1200,$A199,'Registro de Fichas'!$J$7:$J$1200),"")</f>
        <v/>
      </c>
      <c r="I199" s="38" t="str">
        <f aca="false">IF($C199=0,"",IF($C199&gt;=Parametros!$B$27,"OK","FALTAN "&amp;(Parametros!$B$27-$C199)))</f>
        <v/>
      </c>
      <c r="J199" s="38" t="str">
        <f aca="false">IF($C199=0,"",SUMIF('Registro de Fichas'!$D$7:$D$1200,$A199,'Registro de Fichas'!$M$7:$M$1200))</f>
        <v/>
      </c>
      <c r="K199" s="26" t="n">
        <f aca="false">COUNTIFS('Registro de Fichas'!$D$7:$D$1200,$A199,'Registro de Fichas'!$K$7:$K$1200,"Contenedores")</f>
        <v>0</v>
      </c>
      <c r="L199" s="26" t="n">
        <f aca="false">COUNTIFS('Registro de Fichas'!$D$7:$D$1200,$A199,'Registro de Fichas'!$K$7:$K$1200,"Granel solido")</f>
        <v>0</v>
      </c>
      <c r="M199" s="26" t="n">
        <f aca="false">COUNTIFS('Registro de Fichas'!$D$7:$D$1200,$A199,'Registro de Fichas'!$K$7:$K$1200,"Carga fraccionada")</f>
        <v>0</v>
      </c>
      <c r="N199" s="26" t="n">
        <f aca="false">COUNTIFS('Registro de Fichas'!$D$7:$D$1200,$A199,'Registro de Fichas'!$K$7:$K$1200,"Big bags")</f>
        <v>0</v>
      </c>
      <c r="O199" s="26" t="n">
        <f aca="false">COUNTIFS('Registro de Fichas'!$D$7:$D$1200,$A199,'Registro de Fichas'!$L$7:$L$1200,"Si")</f>
        <v>0</v>
      </c>
      <c r="P199" s="23" t="str">
        <f aca="false">IF($C199=0,"",IF($C199&lt;Parametros!$B$27,"EVIDENCIA INSUFICIENTE",IF(AND($D199&lt;&gt;"",$C199&lt;$D199*Parametros!$B$28),"BAJO % MUESTREO",IF($J199&lt;Parametros!$B$31,"POCOS EVALUADORES","VALIDA"))))</f>
        <v/>
      </c>
    </row>
    <row r="200" customFormat="false" ht="15" hidden="false" customHeight="true" outlineLevel="0" collapsed="false">
      <c r="A200" s="72"/>
      <c r="B200" s="16" t="str">
        <f aca="false">IFERROR(INDEX('Registro de Fichas'!$E$7:$E$1200,MATCH($A200,'Registro de Fichas'!$D$7:$D$1200,0)),"")</f>
        <v/>
      </c>
      <c r="C200" s="74" t="n">
        <f aca="false">COUNTIF('Registro de Fichas'!$D$7:$D$1200,$A200)</f>
        <v>0</v>
      </c>
      <c r="D200" s="72"/>
      <c r="E200" s="73" t="str">
        <f aca="false">IFERROR(AVERAGEIF('Registro de Fichas'!$D$7:$D$1200,$A200,'Registro de Fichas'!$G$7:$G$1200),"")</f>
        <v/>
      </c>
      <c r="F200" s="73" t="str">
        <f aca="false">IFERROR(AVERAGEIF('Registro de Fichas'!$D$7:$D$1200,$A200,'Registro de Fichas'!$H$7:$H$1200),"")</f>
        <v/>
      </c>
      <c r="G200" s="73" t="str">
        <f aca="false">IFERROR(AVERAGEIF('Registro de Fichas'!$D$7:$D$1200,$A200,'Registro de Fichas'!$I$7:$I$1200),"")</f>
        <v/>
      </c>
      <c r="H200" s="73" t="str">
        <f aca="false">IFERROR(AVERAGEIF('Registro de Fichas'!$D$7:$D$1200,$A200,'Registro de Fichas'!$J$7:$J$1200),"")</f>
        <v/>
      </c>
      <c r="I200" s="56" t="str">
        <f aca="false">IF($C200=0,"",IF($C200&gt;=Parametros!$B$27,"OK","FALTAN "&amp;(Parametros!$B$27-$C200)))</f>
        <v/>
      </c>
      <c r="J200" s="56" t="str">
        <f aca="false">IF($C200=0,"",SUMIF('Registro de Fichas'!$D$7:$D$1200,$A200,'Registro de Fichas'!$M$7:$M$1200))</f>
        <v/>
      </c>
      <c r="K200" s="74" t="n">
        <f aca="false">COUNTIFS('Registro de Fichas'!$D$7:$D$1200,$A200,'Registro de Fichas'!$K$7:$K$1200,"Contenedores")</f>
        <v>0</v>
      </c>
      <c r="L200" s="74" t="n">
        <f aca="false">COUNTIFS('Registro de Fichas'!$D$7:$D$1200,$A200,'Registro de Fichas'!$K$7:$K$1200,"Granel solido")</f>
        <v>0</v>
      </c>
      <c r="M200" s="74" t="n">
        <f aca="false">COUNTIFS('Registro de Fichas'!$D$7:$D$1200,$A200,'Registro de Fichas'!$K$7:$K$1200,"Carga fraccionada")</f>
        <v>0</v>
      </c>
      <c r="N200" s="74" t="n">
        <f aca="false">COUNTIFS('Registro de Fichas'!$D$7:$D$1200,$A200,'Registro de Fichas'!$K$7:$K$1200,"Big bags")</f>
        <v>0</v>
      </c>
      <c r="O200" s="74" t="n">
        <f aca="false">COUNTIFS('Registro de Fichas'!$D$7:$D$1200,$A200,'Registro de Fichas'!$L$7:$L$1200,"Si")</f>
        <v>0</v>
      </c>
      <c r="P200" s="75" t="str">
        <f aca="false">IF($C200=0,"",IF($C200&lt;Parametros!$B$27,"EVIDENCIA INSUFICIENTE",IF(AND($D200&lt;&gt;"",$C200&lt;$D200*Parametros!$B$28),"BAJO % MUESTREO",IF($J200&lt;Parametros!$B$31,"POCOS EVALUADORES","VALIDA"))))</f>
        <v/>
      </c>
    </row>
    <row r="201" customFormat="false" ht="15" hidden="false" customHeight="true" outlineLevel="0" collapsed="false">
      <c r="A201" s="72"/>
      <c r="B201" s="13" t="str">
        <f aca="false">IFERROR(INDEX('Registro de Fichas'!$E$7:$E$1200,MATCH($A201,'Registro de Fichas'!$D$7:$D$1200,0)),"")</f>
        <v/>
      </c>
      <c r="C201" s="26" t="n">
        <f aca="false">COUNTIF('Registro de Fichas'!$D$7:$D$1200,$A201)</f>
        <v>0</v>
      </c>
      <c r="D201" s="72"/>
      <c r="E201" s="73" t="str">
        <f aca="false">IFERROR(AVERAGEIF('Registro de Fichas'!$D$7:$D$1200,$A201,'Registro de Fichas'!$G$7:$G$1200),"")</f>
        <v/>
      </c>
      <c r="F201" s="73" t="str">
        <f aca="false">IFERROR(AVERAGEIF('Registro de Fichas'!$D$7:$D$1200,$A201,'Registro de Fichas'!$H$7:$H$1200),"")</f>
        <v/>
      </c>
      <c r="G201" s="73" t="str">
        <f aca="false">IFERROR(AVERAGEIF('Registro de Fichas'!$D$7:$D$1200,$A201,'Registro de Fichas'!$I$7:$I$1200),"")</f>
        <v/>
      </c>
      <c r="H201" s="73" t="str">
        <f aca="false">IFERROR(AVERAGEIF('Registro de Fichas'!$D$7:$D$1200,$A201,'Registro de Fichas'!$J$7:$J$1200),"")</f>
        <v/>
      </c>
      <c r="I201" s="38" t="str">
        <f aca="false">IF($C201=0,"",IF($C201&gt;=Parametros!$B$27,"OK","FALTAN "&amp;(Parametros!$B$27-$C201)))</f>
        <v/>
      </c>
      <c r="J201" s="38" t="str">
        <f aca="false">IF($C201=0,"",SUMIF('Registro de Fichas'!$D$7:$D$1200,$A201,'Registro de Fichas'!$M$7:$M$1200))</f>
        <v/>
      </c>
      <c r="K201" s="26" t="n">
        <f aca="false">COUNTIFS('Registro de Fichas'!$D$7:$D$1200,$A201,'Registro de Fichas'!$K$7:$K$1200,"Contenedores")</f>
        <v>0</v>
      </c>
      <c r="L201" s="26" t="n">
        <f aca="false">COUNTIFS('Registro de Fichas'!$D$7:$D$1200,$A201,'Registro de Fichas'!$K$7:$K$1200,"Granel solido")</f>
        <v>0</v>
      </c>
      <c r="M201" s="26" t="n">
        <f aca="false">COUNTIFS('Registro de Fichas'!$D$7:$D$1200,$A201,'Registro de Fichas'!$K$7:$K$1200,"Carga fraccionada")</f>
        <v>0</v>
      </c>
      <c r="N201" s="26" t="n">
        <f aca="false">COUNTIFS('Registro de Fichas'!$D$7:$D$1200,$A201,'Registro de Fichas'!$K$7:$K$1200,"Big bags")</f>
        <v>0</v>
      </c>
      <c r="O201" s="26" t="n">
        <f aca="false">COUNTIFS('Registro de Fichas'!$D$7:$D$1200,$A201,'Registro de Fichas'!$L$7:$L$1200,"Si")</f>
        <v>0</v>
      </c>
      <c r="P201" s="23" t="str">
        <f aca="false">IF($C201=0,"",IF($C201&lt;Parametros!$B$27,"EVIDENCIA INSUFICIENTE",IF(AND($D201&lt;&gt;"",$C201&lt;$D201*Parametros!$B$28),"BAJO % MUESTREO",IF($J201&lt;Parametros!$B$31,"POCOS EVALUADORES","VALIDA"))))</f>
        <v/>
      </c>
    </row>
    <row r="202" customFormat="false" ht="15" hidden="false" customHeight="true" outlineLevel="0" collapsed="false">
      <c r="A202" s="72"/>
      <c r="B202" s="16" t="str">
        <f aca="false">IFERROR(INDEX('Registro de Fichas'!$E$7:$E$1200,MATCH($A202,'Registro de Fichas'!$D$7:$D$1200,0)),"")</f>
        <v/>
      </c>
      <c r="C202" s="74" t="n">
        <f aca="false">COUNTIF('Registro de Fichas'!$D$7:$D$1200,$A202)</f>
        <v>0</v>
      </c>
      <c r="D202" s="72"/>
      <c r="E202" s="73" t="str">
        <f aca="false">IFERROR(AVERAGEIF('Registro de Fichas'!$D$7:$D$1200,$A202,'Registro de Fichas'!$G$7:$G$1200),"")</f>
        <v/>
      </c>
      <c r="F202" s="73" t="str">
        <f aca="false">IFERROR(AVERAGEIF('Registro de Fichas'!$D$7:$D$1200,$A202,'Registro de Fichas'!$H$7:$H$1200),"")</f>
        <v/>
      </c>
      <c r="G202" s="73" t="str">
        <f aca="false">IFERROR(AVERAGEIF('Registro de Fichas'!$D$7:$D$1200,$A202,'Registro de Fichas'!$I$7:$I$1200),"")</f>
        <v/>
      </c>
      <c r="H202" s="73" t="str">
        <f aca="false">IFERROR(AVERAGEIF('Registro de Fichas'!$D$7:$D$1200,$A202,'Registro de Fichas'!$J$7:$J$1200),"")</f>
        <v/>
      </c>
      <c r="I202" s="56" t="str">
        <f aca="false">IF($C202=0,"",IF($C202&gt;=Parametros!$B$27,"OK","FALTAN "&amp;(Parametros!$B$27-$C202)))</f>
        <v/>
      </c>
      <c r="J202" s="56" t="str">
        <f aca="false">IF($C202=0,"",SUMIF('Registro de Fichas'!$D$7:$D$1200,$A202,'Registro de Fichas'!$M$7:$M$1200))</f>
        <v/>
      </c>
      <c r="K202" s="74" t="n">
        <f aca="false">COUNTIFS('Registro de Fichas'!$D$7:$D$1200,$A202,'Registro de Fichas'!$K$7:$K$1200,"Contenedores")</f>
        <v>0</v>
      </c>
      <c r="L202" s="74" t="n">
        <f aca="false">COUNTIFS('Registro de Fichas'!$D$7:$D$1200,$A202,'Registro de Fichas'!$K$7:$K$1200,"Granel solido")</f>
        <v>0</v>
      </c>
      <c r="M202" s="74" t="n">
        <f aca="false">COUNTIFS('Registro de Fichas'!$D$7:$D$1200,$A202,'Registro de Fichas'!$K$7:$K$1200,"Carga fraccionada")</f>
        <v>0</v>
      </c>
      <c r="N202" s="74" t="n">
        <f aca="false">COUNTIFS('Registro de Fichas'!$D$7:$D$1200,$A202,'Registro de Fichas'!$K$7:$K$1200,"Big bags")</f>
        <v>0</v>
      </c>
      <c r="O202" s="74" t="n">
        <f aca="false">COUNTIFS('Registro de Fichas'!$D$7:$D$1200,$A202,'Registro de Fichas'!$L$7:$L$1200,"Si")</f>
        <v>0</v>
      </c>
      <c r="P202" s="75" t="str">
        <f aca="false">IF($C202=0,"",IF($C202&lt;Parametros!$B$27,"EVIDENCIA INSUFICIENTE",IF(AND($D202&lt;&gt;"",$C202&lt;$D202*Parametros!$B$28),"BAJO % MUESTREO",IF($J202&lt;Parametros!$B$31,"POCOS EVALUADORES","VALIDA"))))</f>
        <v/>
      </c>
    </row>
    <row r="203" customFormat="false" ht="15" hidden="false" customHeight="true" outlineLevel="0" collapsed="false">
      <c r="A203" s="72"/>
      <c r="B203" s="13" t="str">
        <f aca="false">IFERROR(INDEX('Registro de Fichas'!$E$7:$E$1200,MATCH($A203,'Registro de Fichas'!$D$7:$D$1200,0)),"")</f>
        <v/>
      </c>
      <c r="C203" s="26" t="n">
        <f aca="false">COUNTIF('Registro de Fichas'!$D$7:$D$1200,$A203)</f>
        <v>0</v>
      </c>
      <c r="D203" s="72"/>
      <c r="E203" s="73" t="str">
        <f aca="false">IFERROR(AVERAGEIF('Registro de Fichas'!$D$7:$D$1200,$A203,'Registro de Fichas'!$G$7:$G$1200),"")</f>
        <v/>
      </c>
      <c r="F203" s="73" t="str">
        <f aca="false">IFERROR(AVERAGEIF('Registro de Fichas'!$D$7:$D$1200,$A203,'Registro de Fichas'!$H$7:$H$1200),"")</f>
        <v/>
      </c>
      <c r="G203" s="73" t="str">
        <f aca="false">IFERROR(AVERAGEIF('Registro de Fichas'!$D$7:$D$1200,$A203,'Registro de Fichas'!$I$7:$I$1200),"")</f>
        <v/>
      </c>
      <c r="H203" s="73" t="str">
        <f aca="false">IFERROR(AVERAGEIF('Registro de Fichas'!$D$7:$D$1200,$A203,'Registro de Fichas'!$J$7:$J$1200),"")</f>
        <v/>
      </c>
      <c r="I203" s="38" t="str">
        <f aca="false">IF($C203=0,"",IF($C203&gt;=Parametros!$B$27,"OK","FALTAN "&amp;(Parametros!$B$27-$C203)))</f>
        <v/>
      </c>
      <c r="J203" s="38" t="str">
        <f aca="false">IF($C203=0,"",SUMIF('Registro de Fichas'!$D$7:$D$1200,$A203,'Registro de Fichas'!$M$7:$M$1200))</f>
        <v/>
      </c>
      <c r="K203" s="26" t="n">
        <f aca="false">COUNTIFS('Registro de Fichas'!$D$7:$D$1200,$A203,'Registro de Fichas'!$K$7:$K$1200,"Contenedores")</f>
        <v>0</v>
      </c>
      <c r="L203" s="26" t="n">
        <f aca="false">COUNTIFS('Registro de Fichas'!$D$7:$D$1200,$A203,'Registro de Fichas'!$K$7:$K$1200,"Granel solido")</f>
        <v>0</v>
      </c>
      <c r="M203" s="26" t="n">
        <f aca="false">COUNTIFS('Registro de Fichas'!$D$7:$D$1200,$A203,'Registro de Fichas'!$K$7:$K$1200,"Carga fraccionada")</f>
        <v>0</v>
      </c>
      <c r="N203" s="26" t="n">
        <f aca="false">COUNTIFS('Registro de Fichas'!$D$7:$D$1200,$A203,'Registro de Fichas'!$K$7:$K$1200,"Big bags")</f>
        <v>0</v>
      </c>
      <c r="O203" s="26" t="n">
        <f aca="false">COUNTIFS('Registro de Fichas'!$D$7:$D$1200,$A203,'Registro de Fichas'!$L$7:$L$1200,"Si")</f>
        <v>0</v>
      </c>
      <c r="P203" s="23" t="str">
        <f aca="false">IF($C203=0,"",IF($C203&lt;Parametros!$B$27,"EVIDENCIA INSUFICIENTE",IF(AND($D203&lt;&gt;"",$C203&lt;$D203*Parametros!$B$28),"BAJO % MUESTREO",IF($J203&lt;Parametros!$B$31,"POCOS EVALUADORES","VALIDA"))))</f>
        <v/>
      </c>
    </row>
    <row r="204" customFormat="false" ht="15" hidden="false" customHeight="true" outlineLevel="0" collapsed="false">
      <c r="A204" s="72"/>
      <c r="B204" s="16" t="str">
        <f aca="false">IFERROR(INDEX('Registro de Fichas'!$E$7:$E$1200,MATCH($A204,'Registro de Fichas'!$D$7:$D$1200,0)),"")</f>
        <v/>
      </c>
      <c r="C204" s="74" t="n">
        <f aca="false">COUNTIF('Registro de Fichas'!$D$7:$D$1200,$A204)</f>
        <v>0</v>
      </c>
      <c r="D204" s="72"/>
      <c r="E204" s="73" t="str">
        <f aca="false">IFERROR(AVERAGEIF('Registro de Fichas'!$D$7:$D$1200,$A204,'Registro de Fichas'!$G$7:$G$1200),"")</f>
        <v/>
      </c>
      <c r="F204" s="73" t="str">
        <f aca="false">IFERROR(AVERAGEIF('Registro de Fichas'!$D$7:$D$1200,$A204,'Registro de Fichas'!$H$7:$H$1200),"")</f>
        <v/>
      </c>
      <c r="G204" s="73" t="str">
        <f aca="false">IFERROR(AVERAGEIF('Registro de Fichas'!$D$7:$D$1200,$A204,'Registro de Fichas'!$I$7:$I$1200),"")</f>
        <v/>
      </c>
      <c r="H204" s="73" t="str">
        <f aca="false">IFERROR(AVERAGEIF('Registro de Fichas'!$D$7:$D$1200,$A204,'Registro de Fichas'!$J$7:$J$1200),"")</f>
        <v/>
      </c>
      <c r="I204" s="56" t="str">
        <f aca="false">IF($C204=0,"",IF($C204&gt;=Parametros!$B$27,"OK","FALTAN "&amp;(Parametros!$B$27-$C204)))</f>
        <v/>
      </c>
      <c r="J204" s="56" t="str">
        <f aca="false">IF($C204=0,"",SUMIF('Registro de Fichas'!$D$7:$D$1200,$A204,'Registro de Fichas'!$M$7:$M$1200))</f>
        <v/>
      </c>
      <c r="K204" s="74" t="n">
        <f aca="false">COUNTIFS('Registro de Fichas'!$D$7:$D$1200,$A204,'Registro de Fichas'!$K$7:$K$1200,"Contenedores")</f>
        <v>0</v>
      </c>
      <c r="L204" s="74" t="n">
        <f aca="false">COUNTIFS('Registro de Fichas'!$D$7:$D$1200,$A204,'Registro de Fichas'!$K$7:$K$1200,"Granel solido")</f>
        <v>0</v>
      </c>
      <c r="M204" s="74" t="n">
        <f aca="false">COUNTIFS('Registro de Fichas'!$D$7:$D$1200,$A204,'Registro de Fichas'!$K$7:$K$1200,"Carga fraccionada")</f>
        <v>0</v>
      </c>
      <c r="N204" s="74" t="n">
        <f aca="false">COUNTIFS('Registro de Fichas'!$D$7:$D$1200,$A204,'Registro de Fichas'!$K$7:$K$1200,"Big bags")</f>
        <v>0</v>
      </c>
      <c r="O204" s="74" t="n">
        <f aca="false">COUNTIFS('Registro de Fichas'!$D$7:$D$1200,$A204,'Registro de Fichas'!$L$7:$L$1200,"Si")</f>
        <v>0</v>
      </c>
      <c r="P204" s="75" t="str">
        <f aca="false">IF($C204=0,"",IF($C204&lt;Parametros!$B$27,"EVIDENCIA INSUFICIENTE",IF(AND($D204&lt;&gt;"",$C204&lt;$D204*Parametros!$B$28),"BAJO % MUESTREO",IF($J204&lt;Parametros!$B$31,"POCOS EVALUADORES","VALIDA"))))</f>
        <v/>
      </c>
    </row>
    <row r="205" customFormat="false" ht="15" hidden="false" customHeight="true" outlineLevel="0" collapsed="false">
      <c r="A205" s="72"/>
      <c r="B205" s="13" t="str">
        <f aca="false">IFERROR(INDEX('Registro de Fichas'!$E$7:$E$1200,MATCH($A205,'Registro de Fichas'!$D$7:$D$1200,0)),"")</f>
        <v/>
      </c>
      <c r="C205" s="26" t="n">
        <f aca="false">COUNTIF('Registro de Fichas'!$D$7:$D$1200,$A205)</f>
        <v>0</v>
      </c>
      <c r="D205" s="72"/>
      <c r="E205" s="73" t="str">
        <f aca="false">IFERROR(AVERAGEIF('Registro de Fichas'!$D$7:$D$1200,$A205,'Registro de Fichas'!$G$7:$G$1200),"")</f>
        <v/>
      </c>
      <c r="F205" s="73" t="str">
        <f aca="false">IFERROR(AVERAGEIF('Registro de Fichas'!$D$7:$D$1200,$A205,'Registro de Fichas'!$H$7:$H$1200),"")</f>
        <v/>
      </c>
      <c r="G205" s="73" t="str">
        <f aca="false">IFERROR(AVERAGEIF('Registro de Fichas'!$D$7:$D$1200,$A205,'Registro de Fichas'!$I$7:$I$1200),"")</f>
        <v/>
      </c>
      <c r="H205" s="73" t="str">
        <f aca="false">IFERROR(AVERAGEIF('Registro de Fichas'!$D$7:$D$1200,$A205,'Registro de Fichas'!$J$7:$J$1200),"")</f>
        <v/>
      </c>
      <c r="I205" s="38" t="str">
        <f aca="false">IF($C205=0,"",IF($C205&gt;=Parametros!$B$27,"OK","FALTAN "&amp;(Parametros!$B$27-$C205)))</f>
        <v/>
      </c>
      <c r="J205" s="38" t="str">
        <f aca="false">IF($C205=0,"",SUMIF('Registro de Fichas'!$D$7:$D$1200,$A205,'Registro de Fichas'!$M$7:$M$1200))</f>
        <v/>
      </c>
      <c r="K205" s="26" t="n">
        <f aca="false">COUNTIFS('Registro de Fichas'!$D$7:$D$1200,$A205,'Registro de Fichas'!$K$7:$K$1200,"Contenedores")</f>
        <v>0</v>
      </c>
      <c r="L205" s="26" t="n">
        <f aca="false">COUNTIFS('Registro de Fichas'!$D$7:$D$1200,$A205,'Registro de Fichas'!$K$7:$K$1200,"Granel solido")</f>
        <v>0</v>
      </c>
      <c r="M205" s="26" t="n">
        <f aca="false">COUNTIFS('Registro de Fichas'!$D$7:$D$1200,$A205,'Registro de Fichas'!$K$7:$K$1200,"Carga fraccionada")</f>
        <v>0</v>
      </c>
      <c r="N205" s="26" t="n">
        <f aca="false">COUNTIFS('Registro de Fichas'!$D$7:$D$1200,$A205,'Registro de Fichas'!$K$7:$K$1200,"Big bags")</f>
        <v>0</v>
      </c>
      <c r="O205" s="26" t="n">
        <f aca="false">COUNTIFS('Registro de Fichas'!$D$7:$D$1200,$A205,'Registro de Fichas'!$L$7:$L$1200,"Si")</f>
        <v>0</v>
      </c>
      <c r="P205" s="23" t="str">
        <f aca="false">IF($C205=0,"",IF($C205&lt;Parametros!$B$27,"EVIDENCIA INSUFICIENTE",IF(AND($D205&lt;&gt;"",$C205&lt;$D205*Parametros!$B$28),"BAJO % MUESTREO",IF($J205&lt;Parametros!$B$31,"POCOS EVALUADORES","VALIDA"))))</f>
        <v/>
      </c>
    </row>
    <row r="206" customFormat="false" ht="15" hidden="false" customHeight="true" outlineLevel="0" collapsed="false">
      <c r="A206" s="72"/>
      <c r="B206" s="16" t="str">
        <f aca="false">IFERROR(INDEX('Registro de Fichas'!$E$7:$E$1200,MATCH($A206,'Registro de Fichas'!$D$7:$D$1200,0)),"")</f>
        <v/>
      </c>
      <c r="C206" s="74" t="n">
        <f aca="false">COUNTIF('Registro de Fichas'!$D$7:$D$1200,$A206)</f>
        <v>0</v>
      </c>
      <c r="D206" s="72"/>
      <c r="E206" s="73" t="str">
        <f aca="false">IFERROR(AVERAGEIF('Registro de Fichas'!$D$7:$D$1200,$A206,'Registro de Fichas'!$G$7:$G$1200),"")</f>
        <v/>
      </c>
      <c r="F206" s="73" t="str">
        <f aca="false">IFERROR(AVERAGEIF('Registro de Fichas'!$D$7:$D$1200,$A206,'Registro de Fichas'!$H$7:$H$1200),"")</f>
        <v/>
      </c>
      <c r="G206" s="73" t="str">
        <f aca="false">IFERROR(AVERAGEIF('Registro de Fichas'!$D$7:$D$1200,$A206,'Registro de Fichas'!$I$7:$I$1200),"")</f>
        <v/>
      </c>
      <c r="H206" s="73" t="str">
        <f aca="false">IFERROR(AVERAGEIF('Registro de Fichas'!$D$7:$D$1200,$A206,'Registro de Fichas'!$J$7:$J$1200),"")</f>
        <v/>
      </c>
      <c r="I206" s="56" t="str">
        <f aca="false">IF($C206=0,"",IF($C206&gt;=Parametros!$B$27,"OK","FALTAN "&amp;(Parametros!$B$27-$C206)))</f>
        <v/>
      </c>
      <c r="J206" s="56" t="str">
        <f aca="false">IF($C206=0,"",SUMIF('Registro de Fichas'!$D$7:$D$1200,$A206,'Registro de Fichas'!$M$7:$M$1200))</f>
        <v/>
      </c>
      <c r="K206" s="74" t="n">
        <f aca="false">COUNTIFS('Registro de Fichas'!$D$7:$D$1200,$A206,'Registro de Fichas'!$K$7:$K$1200,"Contenedores")</f>
        <v>0</v>
      </c>
      <c r="L206" s="74" t="n">
        <f aca="false">COUNTIFS('Registro de Fichas'!$D$7:$D$1200,$A206,'Registro de Fichas'!$K$7:$K$1200,"Granel solido")</f>
        <v>0</v>
      </c>
      <c r="M206" s="74" t="n">
        <f aca="false">COUNTIFS('Registro de Fichas'!$D$7:$D$1200,$A206,'Registro de Fichas'!$K$7:$K$1200,"Carga fraccionada")</f>
        <v>0</v>
      </c>
      <c r="N206" s="74" t="n">
        <f aca="false">COUNTIFS('Registro de Fichas'!$D$7:$D$1200,$A206,'Registro de Fichas'!$K$7:$K$1200,"Big bags")</f>
        <v>0</v>
      </c>
      <c r="O206" s="74" t="n">
        <f aca="false">COUNTIFS('Registro de Fichas'!$D$7:$D$1200,$A206,'Registro de Fichas'!$L$7:$L$1200,"Si")</f>
        <v>0</v>
      </c>
      <c r="P206" s="75" t="str">
        <f aca="false">IF($C206=0,"",IF($C206&lt;Parametros!$B$27,"EVIDENCIA INSUFICIENTE",IF(AND($D206&lt;&gt;"",$C206&lt;$D206*Parametros!$B$28),"BAJO % MUESTREO",IF($J206&lt;Parametros!$B$31,"POCOS EVALUADORES","VALIDA"))))</f>
        <v/>
      </c>
    </row>
    <row r="207" customFormat="false" ht="15" hidden="false" customHeight="true" outlineLevel="0" collapsed="false">
      <c r="A207" s="72"/>
      <c r="B207" s="13" t="str">
        <f aca="false">IFERROR(INDEX('Registro de Fichas'!$E$7:$E$1200,MATCH($A207,'Registro de Fichas'!$D$7:$D$1200,0)),"")</f>
        <v/>
      </c>
      <c r="C207" s="26" t="n">
        <f aca="false">COUNTIF('Registro de Fichas'!$D$7:$D$1200,$A207)</f>
        <v>0</v>
      </c>
      <c r="D207" s="72"/>
      <c r="E207" s="73" t="str">
        <f aca="false">IFERROR(AVERAGEIF('Registro de Fichas'!$D$7:$D$1200,$A207,'Registro de Fichas'!$G$7:$G$1200),"")</f>
        <v/>
      </c>
      <c r="F207" s="73" t="str">
        <f aca="false">IFERROR(AVERAGEIF('Registro de Fichas'!$D$7:$D$1200,$A207,'Registro de Fichas'!$H$7:$H$1200),"")</f>
        <v/>
      </c>
      <c r="G207" s="73" t="str">
        <f aca="false">IFERROR(AVERAGEIF('Registro de Fichas'!$D$7:$D$1200,$A207,'Registro de Fichas'!$I$7:$I$1200),"")</f>
        <v/>
      </c>
      <c r="H207" s="73" t="str">
        <f aca="false">IFERROR(AVERAGEIF('Registro de Fichas'!$D$7:$D$1200,$A207,'Registro de Fichas'!$J$7:$J$1200),"")</f>
        <v/>
      </c>
      <c r="I207" s="38" t="str">
        <f aca="false">IF($C207=0,"",IF($C207&gt;=Parametros!$B$27,"OK","FALTAN "&amp;(Parametros!$B$27-$C207)))</f>
        <v/>
      </c>
      <c r="J207" s="38" t="str">
        <f aca="false">IF($C207=0,"",SUMIF('Registro de Fichas'!$D$7:$D$1200,$A207,'Registro de Fichas'!$M$7:$M$1200))</f>
        <v/>
      </c>
      <c r="K207" s="26" t="n">
        <f aca="false">COUNTIFS('Registro de Fichas'!$D$7:$D$1200,$A207,'Registro de Fichas'!$K$7:$K$1200,"Contenedores")</f>
        <v>0</v>
      </c>
      <c r="L207" s="26" t="n">
        <f aca="false">COUNTIFS('Registro de Fichas'!$D$7:$D$1200,$A207,'Registro de Fichas'!$K$7:$K$1200,"Granel solido")</f>
        <v>0</v>
      </c>
      <c r="M207" s="26" t="n">
        <f aca="false">COUNTIFS('Registro de Fichas'!$D$7:$D$1200,$A207,'Registro de Fichas'!$K$7:$K$1200,"Carga fraccionada")</f>
        <v>0</v>
      </c>
      <c r="N207" s="26" t="n">
        <f aca="false">COUNTIFS('Registro de Fichas'!$D$7:$D$1200,$A207,'Registro de Fichas'!$K$7:$K$1200,"Big bags")</f>
        <v>0</v>
      </c>
      <c r="O207" s="26" t="n">
        <f aca="false">COUNTIFS('Registro de Fichas'!$D$7:$D$1200,$A207,'Registro de Fichas'!$L$7:$L$1200,"Si")</f>
        <v>0</v>
      </c>
      <c r="P207" s="23" t="str">
        <f aca="false">IF($C207=0,"",IF($C207&lt;Parametros!$B$27,"EVIDENCIA INSUFICIENTE",IF(AND($D207&lt;&gt;"",$C207&lt;$D207*Parametros!$B$28),"BAJO % MUESTREO",IF($J207&lt;Parametros!$B$31,"POCOS EVALUADORES","VALIDA"))))</f>
        <v/>
      </c>
    </row>
    <row r="208" customFormat="false" ht="15" hidden="false" customHeight="true" outlineLevel="0" collapsed="false">
      <c r="A208" s="72"/>
      <c r="B208" s="16" t="str">
        <f aca="false">IFERROR(INDEX('Registro de Fichas'!$E$7:$E$1200,MATCH($A208,'Registro de Fichas'!$D$7:$D$1200,0)),"")</f>
        <v/>
      </c>
      <c r="C208" s="74" t="n">
        <f aca="false">COUNTIF('Registro de Fichas'!$D$7:$D$1200,$A208)</f>
        <v>0</v>
      </c>
      <c r="D208" s="72"/>
      <c r="E208" s="73" t="str">
        <f aca="false">IFERROR(AVERAGEIF('Registro de Fichas'!$D$7:$D$1200,$A208,'Registro de Fichas'!$G$7:$G$1200),"")</f>
        <v/>
      </c>
      <c r="F208" s="73" t="str">
        <f aca="false">IFERROR(AVERAGEIF('Registro de Fichas'!$D$7:$D$1200,$A208,'Registro de Fichas'!$H$7:$H$1200),"")</f>
        <v/>
      </c>
      <c r="G208" s="73" t="str">
        <f aca="false">IFERROR(AVERAGEIF('Registro de Fichas'!$D$7:$D$1200,$A208,'Registro de Fichas'!$I$7:$I$1200),"")</f>
        <v/>
      </c>
      <c r="H208" s="73" t="str">
        <f aca="false">IFERROR(AVERAGEIF('Registro de Fichas'!$D$7:$D$1200,$A208,'Registro de Fichas'!$J$7:$J$1200),"")</f>
        <v/>
      </c>
      <c r="I208" s="56" t="str">
        <f aca="false">IF($C208=0,"",IF($C208&gt;=Parametros!$B$27,"OK","FALTAN "&amp;(Parametros!$B$27-$C208)))</f>
        <v/>
      </c>
      <c r="J208" s="56" t="str">
        <f aca="false">IF($C208=0,"",SUMIF('Registro de Fichas'!$D$7:$D$1200,$A208,'Registro de Fichas'!$M$7:$M$1200))</f>
        <v/>
      </c>
      <c r="K208" s="74" t="n">
        <f aca="false">COUNTIFS('Registro de Fichas'!$D$7:$D$1200,$A208,'Registro de Fichas'!$K$7:$K$1200,"Contenedores")</f>
        <v>0</v>
      </c>
      <c r="L208" s="74" t="n">
        <f aca="false">COUNTIFS('Registro de Fichas'!$D$7:$D$1200,$A208,'Registro de Fichas'!$K$7:$K$1200,"Granel solido")</f>
        <v>0</v>
      </c>
      <c r="M208" s="74" t="n">
        <f aca="false">COUNTIFS('Registro de Fichas'!$D$7:$D$1200,$A208,'Registro de Fichas'!$K$7:$K$1200,"Carga fraccionada")</f>
        <v>0</v>
      </c>
      <c r="N208" s="74" t="n">
        <f aca="false">COUNTIFS('Registro de Fichas'!$D$7:$D$1200,$A208,'Registro de Fichas'!$K$7:$K$1200,"Big bags")</f>
        <v>0</v>
      </c>
      <c r="O208" s="74" t="n">
        <f aca="false">COUNTIFS('Registro de Fichas'!$D$7:$D$1200,$A208,'Registro de Fichas'!$L$7:$L$1200,"Si")</f>
        <v>0</v>
      </c>
      <c r="P208" s="75" t="str">
        <f aca="false">IF($C208=0,"",IF($C208&lt;Parametros!$B$27,"EVIDENCIA INSUFICIENTE",IF(AND($D208&lt;&gt;"",$C208&lt;$D208*Parametros!$B$28),"BAJO % MUESTREO",IF($J208&lt;Parametros!$B$31,"POCOS EVALUADORES","VALIDA"))))</f>
        <v/>
      </c>
    </row>
    <row r="209" customFormat="false" ht="15" hidden="false" customHeight="true" outlineLevel="0" collapsed="false">
      <c r="A209" s="72"/>
      <c r="B209" s="13" t="str">
        <f aca="false">IFERROR(INDEX('Registro de Fichas'!$E$7:$E$1200,MATCH($A209,'Registro de Fichas'!$D$7:$D$1200,0)),"")</f>
        <v/>
      </c>
      <c r="C209" s="26" t="n">
        <f aca="false">COUNTIF('Registro de Fichas'!$D$7:$D$1200,$A209)</f>
        <v>0</v>
      </c>
      <c r="D209" s="72"/>
      <c r="E209" s="73" t="str">
        <f aca="false">IFERROR(AVERAGEIF('Registro de Fichas'!$D$7:$D$1200,$A209,'Registro de Fichas'!$G$7:$G$1200),"")</f>
        <v/>
      </c>
      <c r="F209" s="73" t="str">
        <f aca="false">IFERROR(AVERAGEIF('Registro de Fichas'!$D$7:$D$1200,$A209,'Registro de Fichas'!$H$7:$H$1200),"")</f>
        <v/>
      </c>
      <c r="G209" s="73" t="str">
        <f aca="false">IFERROR(AVERAGEIF('Registro de Fichas'!$D$7:$D$1200,$A209,'Registro de Fichas'!$I$7:$I$1200),"")</f>
        <v/>
      </c>
      <c r="H209" s="73" t="str">
        <f aca="false">IFERROR(AVERAGEIF('Registro de Fichas'!$D$7:$D$1200,$A209,'Registro de Fichas'!$J$7:$J$1200),"")</f>
        <v/>
      </c>
      <c r="I209" s="38" t="str">
        <f aca="false">IF($C209=0,"",IF($C209&gt;=Parametros!$B$27,"OK","FALTAN "&amp;(Parametros!$B$27-$C209)))</f>
        <v/>
      </c>
      <c r="J209" s="38" t="str">
        <f aca="false">IF($C209=0,"",SUMIF('Registro de Fichas'!$D$7:$D$1200,$A209,'Registro de Fichas'!$M$7:$M$1200))</f>
        <v/>
      </c>
      <c r="K209" s="26" t="n">
        <f aca="false">COUNTIFS('Registro de Fichas'!$D$7:$D$1200,$A209,'Registro de Fichas'!$K$7:$K$1200,"Contenedores")</f>
        <v>0</v>
      </c>
      <c r="L209" s="26" t="n">
        <f aca="false">COUNTIFS('Registro de Fichas'!$D$7:$D$1200,$A209,'Registro de Fichas'!$K$7:$K$1200,"Granel solido")</f>
        <v>0</v>
      </c>
      <c r="M209" s="26" t="n">
        <f aca="false">COUNTIFS('Registro de Fichas'!$D$7:$D$1200,$A209,'Registro de Fichas'!$K$7:$K$1200,"Carga fraccionada")</f>
        <v>0</v>
      </c>
      <c r="N209" s="26" t="n">
        <f aca="false">COUNTIFS('Registro de Fichas'!$D$7:$D$1200,$A209,'Registro de Fichas'!$K$7:$K$1200,"Big bags")</f>
        <v>0</v>
      </c>
      <c r="O209" s="26" t="n">
        <f aca="false">COUNTIFS('Registro de Fichas'!$D$7:$D$1200,$A209,'Registro de Fichas'!$L$7:$L$1200,"Si")</f>
        <v>0</v>
      </c>
      <c r="P209" s="23" t="str">
        <f aca="false">IF($C209=0,"",IF($C209&lt;Parametros!$B$27,"EVIDENCIA INSUFICIENTE",IF(AND($D209&lt;&gt;"",$C209&lt;$D209*Parametros!$B$28),"BAJO % MUESTREO",IF($J209&lt;Parametros!$B$31,"POCOS EVALUADORES","VALIDA"))))</f>
        <v/>
      </c>
    </row>
    <row r="210" customFormat="false" ht="15" hidden="false" customHeight="true" outlineLevel="0" collapsed="false">
      <c r="A210" s="72"/>
      <c r="B210" s="16" t="str">
        <f aca="false">IFERROR(INDEX('Registro de Fichas'!$E$7:$E$1200,MATCH($A210,'Registro de Fichas'!$D$7:$D$1200,0)),"")</f>
        <v/>
      </c>
      <c r="C210" s="74" t="n">
        <f aca="false">COUNTIF('Registro de Fichas'!$D$7:$D$1200,$A210)</f>
        <v>0</v>
      </c>
      <c r="D210" s="72"/>
      <c r="E210" s="73" t="str">
        <f aca="false">IFERROR(AVERAGEIF('Registro de Fichas'!$D$7:$D$1200,$A210,'Registro de Fichas'!$G$7:$G$1200),"")</f>
        <v/>
      </c>
      <c r="F210" s="73" t="str">
        <f aca="false">IFERROR(AVERAGEIF('Registro de Fichas'!$D$7:$D$1200,$A210,'Registro de Fichas'!$H$7:$H$1200),"")</f>
        <v/>
      </c>
      <c r="G210" s="73" t="str">
        <f aca="false">IFERROR(AVERAGEIF('Registro de Fichas'!$D$7:$D$1200,$A210,'Registro de Fichas'!$I$7:$I$1200),"")</f>
        <v/>
      </c>
      <c r="H210" s="73" t="str">
        <f aca="false">IFERROR(AVERAGEIF('Registro de Fichas'!$D$7:$D$1200,$A210,'Registro de Fichas'!$J$7:$J$1200),"")</f>
        <v/>
      </c>
      <c r="I210" s="56" t="str">
        <f aca="false">IF($C210=0,"",IF($C210&gt;=Parametros!$B$27,"OK","FALTAN "&amp;(Parametros!$B$27-$C210)))</f>
        <v/>
      </c>
      <c r="J210" s="56" t="str">
        <f aca="false">IF($C210=0,"",SUMIF('Registro de Fichas'!$D$7:$D$1200,$A210,'Registro de Fichas'!$M$7:$M$1200))</f>
        <v/>
      </c>
      <c r="K210" s="74" t="n">
        <f aca="false">COUNTIFS('Registro de Fichas'!$D$7:$D$1200,$A210,'Registro de Fichas'!$K$7:$K$1200,"Contenedores")</f>
        <v>0</v>
      </c>
      <c r="L210" s="74" t="n">
        <f aca="false">COUNTIFS('Registro de Fichas'!$D$7:$D$1200,$A210,'Registro de Fichas'!$K$7:$K$1200,"Granel solido")</f>
        <v>0</v>
      </c>
      <c r="M210" s="74" t="n">
        <f aca="false">COUNTIFS('Registro de Fichas'!$D$7:$D$1200,$A210,'Registro de Fichas'!$K$7:$K$1200,"Carga fraccionada")</f>
        <v>0</v>
      </c>
      <c r="N210" s="74" t="n">
        <f aca="false">COUNTIFS('Registro de Fichas'!$D$7:$D$1200,$A210,'Registro de Fichas'!$K$7:$K$1200,"Big bags")</f>
        <v>0</v>
      </c>
      <c r="O210" s="74" t="n">
        <f aca="false">COUNTIFS('Registro de Fichas'!$D$7:$D$1200,$A210,'Registro de Fichas'!$L$7:$L$1200,"Si")</f>
        <v>0</v>
      </c>
      <c r="P210" s="75" t="str">
        <f aca="false">IF($C210=0,"",IF($C210&lt;Parametros!$B$27,"EVIDENCIA INSUFICIENTE",IF(AND($D210&lt;&gt;"",$C210&lt;$D210*Parametros!$B$28),"BAJO % MUESTREO",IF($J210&lt;Parametros!$B$31,"POCOS EVALUADORES","VALIDA"))))</f>
        <v/>
      </c>
    </row>
    <row r="211" customFormat="false" ht="15" hidden="false" customHeight="true" outlineLevel="0" collapsed="false">
      <c r="A211" s="72"/>
      <c r="B211" s="13" t="str">
        <f aca="false">IFERROR(INDEX('Registro de Fichas'!$E$7:$E$1200,MATCH($A211,'Registro de Fichas'!$D$7:$D$1200,0)),"")</f>
        <v/>
      </c>
      <c r="C211" s="26" t="n">
        <f aca="false">COUNTIF('Registro de Fichas'!$D$7:$D$1200,$A211)</f>
        <v>0</v>
      </c>
      <c r="D211" s="72"/>
      <c r="E211" s="73" t="str">
        <f aca="false">IFERROR(AVERAGEIF('Registro de Fichas'!$D$7:$D$1200,$A211,'Registro de Fichas'!$G$7:$G$1200),"")</f>
        <v/>
      </c>
      <c r="F211" s="73" t="str">
        <f aca="false">IFERROR(AVERAGEIF('Registro de Fichas'!$D$7:$D$1200,$A211,'Registro de Fichas'!$H$7:$H$1200),"")</f>
        <v/>
      </c>
      <c r="G211" s="73" t="str">
        <f aca="false">IFERROR(AVERAGEIF('Registro de Fichas'!$D$7:$D$1200,$A211,'Registro de Fichas'!$I$7:$I$1200),"")</f>
        <v/>
      </c>
      <c r="H211" s="73" t="str">
        <f aca="false">IFERROR(AVERAGEIF('Registro de Fichas'!$D$7:$D$1200,$A211,'Registro de Fichas'!$J$7:$J$1200),"")</f>
        <v/>
      </c>
      <c r="I211" s="38" t="str">
        <f aca="false">IF($C211=0,"",IF($C211&gt;=Parametros!$B$27,"OK","FALTAN "&amp;(Parametros!$B$27-$C211)))</f>
        <v/>
      </c>
      <c r="J211" s="38" t="str">
        <f aca="false">IF($C211=0,"",SUMIF('Registro de Fichas'!$D$7:$D$1200,$A211,'Registro de Fichas'!$M$7:$M$1200))</f>
        <v/>
      </c>
      <c r="K211" s="26" t="n">
        <f aca="false">COUNTIFS('Registro de Fichas'!$D$7:$D$1200,$A211,'Registro de Fichas'!$K$7:$K$1200,"Contenedores")</f>
        <v>0</v>
      </c>
      <c r="L211" s="26" t="n">
        <f aca="false">COUNTIFS('Registro de Fichas'!$D$7:$D$1200,$A211,'Registro de Fichas'!$K$7:$K$1200,"Granel solido")</f>
        <v>0</v>
      </c>
      <c r="M211" s="26" t="n">
        <f aca="false">COUNTIFS('Registro de Fichas'!$D$7:$D$1200,$A211,'Registro de Fichas'!$K$7:$K$1200,"Carga fraccionada")</f>
        <v>0</v>
      </c>
      <c r="N211" s="26" t="n">
        <f aca="false">COUNTIFS('Registro de Fichas'!$D$7:$D$1200,$A211,'Registro de Fichas'!$K$7:$K$1200,"Big bags")</f>
        <v>0</v>
      </c>
      <c r="O211" s="26" t="n">
        <f aca="false">COUNTIFS('Registro de Fichas'!$D$7:$D$1200,$A211,'Registro de Fichas'!$L$7:$L$1200,"Si")</f>
        <v>0</v>
      </c>
      <c r="P211" s="23" t="str">
        <f aca="false">IF($C211=0,"",IF($C211&lt;Parametros!$B$27,"EVIDENCIA INSUFICIENTE",IF(AND($D211&lt;&gt;"",$C211&lt;$D211*Parametros!$B$28),"BAJO % MUESTREO",IF($J211&lt;Parametros!$B$31,"POCOS EVALUADORES","VALIDA"))))</f>
        <v/>
      </c>
    </row>
    <row r="212" customFormat="false" ht="15" hidden="false" customHeight="true" outlineLevel="0" collapsed="false">
      <c r="A212" s="72"/>
      <c r="B212" s="16" t="str">
        <f aca="false">IFERROR(INDEX('Registro de Fichas'!$E$7:$E$1200,MATCH($A212,'Registro de Fichas'!$D$7:$D$1200,0)),"")</f>
        <v/>
      </c>
      <c r="C212" s="74" t="n">
        <f aca="false">COUNTIF('Registro de Fichas'!$D$7:$D$1200,$A212)</f>
        <v>0</v>
      </c>
      <c r="D212" s="72"/>
      <c r="E212" s="73" t="str">
        <f aca="false">IFERROR(AVERAGEIF('Registro de Fichas'!$D$7:$D$1200,$A212,'Registro de Fichas'!$G$7:$G$1200),"")</f>
        <v/>
      </c>
      <c r="F212" s="73" t="str">
        <f aca="false">IFERROR(AVERAGEIF('Registro de Fichas'!$D$7:$D$1200,$A212,'Registro de Fichas'!$H$7:$H$1200),"")</f>
        <v/>
      </c>
      <c r="G212" s="73" t="str">
        <f aca="false">IFERROR(AVERAGEIF('Registro de Fichas'!$D$7:$D$1200,$A212,'Registro de Fichas'!$I$7:$I$1200),"")</f>
        <v/>
      </c>
      <c r="H212" s="73" t="str">
        <f aca="false">IFERROR(AVERAGEIF('Registro de Fichas'!$D$7:$D$1200,$A212,'Registro de Fichas'!$J$7:$J$1200),"")</f>
        <v/>
      </c>
      <c r="I212" s="56" t="str">
        <f aca="false">IF($C212=0,"",IF($C212&gt;=Parametros!$B$27,"OK","FALTAN "&amp;(Parametros!$B$27-$C212)))</f>
        <v/>
      </c>
      <c r="J212" s="56" t="str">
        <f aca="false">IF($C212=0,"",SUMIF('Registro de Fichas'!$D$7:$D$1200,$A212,'Registro de Fichas'!$M$7:$M$1200))</f>
        <v/>
      </c>
      <c r="K212" s="74" t="n">
        <f aca="false">COUNTIFS('Registro de Fichas'!$D$7:$D$1200,$A212,'Registro de Fichas'!$K$7:$K$1200,"Contenedores")</f>
        <v>0</v>
      </c>
      <c r="L212" s="74" t="n">
        <f aca="false">COUNTIFS('Registro de Fichas'!$D$7:$D$1200,$A212,'Registro de Fichas'!$K$7:$K$1200,"Granel solido")</f>
        <v>0</v>
      </c>
      <c r="M212" s="74" t="n">
        <f aca="false">COUNTIFS('Registro de Fichas'!$D$7:$D$1200,$A212,'Registro de Fichas'!$K$7:$K$1200,"Carga fraccionada")</f>
        <v>0</v>
      </c>
      <c r="N212" s="74" t="n">
        <f aca="false">COUNTIFS('Registro de Fichas'!$D$7:$D$1200,$A212,'Registro de Fichas'!$K$7:$K$1200,"Big bags")</f>
        <v>0</v>
      </c>
      <c r="O212" s="74" t="n">
        <f aca="false">COUNTIFS('Registro de Fichas'!$D$7:$D$1200,$A212,'Registro de Fichas'!$L$7:$L$1200,"Si")</f>
        <v>0</v>
      </c>
      <c r="P212" s="75" t="str">
        <f aca="false">IF($C212=0,"",IF($C212&lt;Parametros!$B$27,"EVIDENCIA INSUFICIENTE",IF(AND($D212&lt;&gt;"",$C212&lt;$D212*Parametros!$B$28),"BAJO % MUESTREO",IF($J212&lt;Parametros!$B$31,"POCOS EVALUADORES","VALIDA"))))</f>
        <v/>
      </c>
    </row>
    <row r="213" customFormat="false" ht="15" hidden="false" customHeight="true" outlineLevel="0" collapsed="false">
      <c r="A213" s="72"/>
      <c r="B213" s="13" t="str">
        <f aca="false">IFERROR(INDEX('Registro de Fichas'!$E$7:$E$1200,MATCH($A213,'Registro de Fichas'!$D$7:$D$1200,0)),"")</f>
        <v/>
      </c>
      <c r="C213" s="26" t="n">
        <f aca="false">COUNTIF('Registro de Fichas'!$D$7:$D$1200,$A213)</f>
        <v>0</v>
      </c>
      <c r="D213" s="72"/>
      <c r="E213" s="73" t="str">
        <f aca="false">IFERROR(AVERAGEIF('Registro de Fichas'!$D$7:$D$1200,$A213,'Registro de Fichas'!$G$7:$G$1200),"")</f>
        <v/>
      </c>
      <c r="F213" s="73" t="str">
        <f aca="false">IFERROR(AVERAGEIF('Registro de Fichas'!$D$7:$D$1200,$A213,'Registro de Fichas'!$H$7:$H$1200),"")</f>
        <v/>
      </c>
      <c r="G213" s="73" t="str">
        <f aca="false">IFERROR(AVERAGEIF('Registro de Fichas'!$D$7:$D$1200,$A213,'Registro de Fichas'!$I$7:$I$1200),"")</f>
        <v/>
      </c>
      <c r="H213" s="73" t="str">
        <f aca="false">IFERROR(AVERAGEIF('Registro de Fichas'!$D$7:$D$1200,$A213,'Registro de Fichas'!$J$7:$J$1200),"")</f>
        <v/>
      </c>
      <c r="I213" s="38" t="str">
        <f aca="false">IF($C213=0,"",IF($C213&gt;=Parametros!$B$27,"OK","FALTAN "&amp;(Parametros!$B$27-$C213)))</f>
        <v/>
      </c>
      <c r="J213" s="38" t="str">
        <f aca="false">IF($C213=0,"",SUMIF('Registro de Fichas'!$D$7:$D$1200,$A213,'Registro de Fichas'!$M$7:$M$1200))</f>
        <v/>
      </c>
      <c r="K213" s="26" t="n">
        <f aca="false">COUNTIFS('Registro de Fichas'!$D$7:$D$1200,$A213,'Registro de Fichas'!$K$7:$K$1200,"Contenedores")</f>
        <v>0</v>
      </c>
      <c r="L213" s="26" t="n">
        <f aca="false">COUNTIFS('Registro de Fichas'!$D$7:$D$1200,$A213,'Registro de Fichas'!$K$7:$K$1200,"Granel solido")</f>
        <v>0</v>
      </c>
      <c r="M213" s="26" t="n">
        <f aca="false">COUNTIFS('Registro de Fichas'!$D$7:$D$1200,$A213,'Registro de Fichas'!$K$7:$K$1200,"Carga fraccionada")</f>
        <v>0</v>
      </c>
      <c r="N213" s="26" t="n">
        <f aca="false">COUNTIFS('Registro de Fichas'!$D$7:$D$1200,$A213,'Registro de Fichas'!$K$7:$K$1200,"Big bags")</f>
        <v>0</v>
      </c>
      <c r="O213" s="26" t="n">
        <f aca="false">COUNTIFS('Registro de Fichas'!$D$7:$D$1200,$A213,'Registro de Fichas'!$L$7:$L$1200,"Si")</f>
        <v>0</v>
      </c>
      <c r="P213" s="23" t="str">
        <f aca="false">IF($C213=0,"",IF($C213&lt;Parametros!$B$27,"EVIDENCIA INSUFICIENTE",IF(AND($D213&lt;&gt;"",$C213&lt;$D213*Parametros!$B$28),"BAJO % MUESTREO",IF($J213&lt;Parametros!$B$31,"POCOS EVALUADORES","VALIDA"))))</f>
        <v/>
      </c>
    </row>
    <row r="214" customFormat="false" ht="15" hidden="false" customHeight="true" outlineLevel="0" collapsed="false">
      <c r="A214" s="72"/>
      <c r="B214" s="16" t="str">
        <f aca="false">IFERROR(INDEX('Registro de Fichas'!$E$7:$E$1200,MATCH($A214,'Registro de Fichas'!$D$7:$D$1200,0)),"")</f>
        <v/>
      </c>
      <c r="C214" s="74" t="n">
        <f aca="false">COUNTIF('Registro de Fichas'!$D$7:$D$1200,$A214)</f>
        <v>0</v>
      </c>
      <c r="D214" s="72"/>
      <c r="E214" s="73" t="str">
        <f aca="false">IFERROR(AVERAGEIF('Registro de Fichas'!$D$7:$D$1200,$A214,'Registro de Fichas'!$G$7:$G$1200),"")</f>
        <v/>
      </c>
      <c r="F214" s="73" t="str">
        <f aca="false">IFERROR(AVERAGEIF('Registro de Fichas'!$D$7:$D$1200,$A214,'Registro de Fichas'!$H$7:$H$1200),"")</f>
        <v/>
      </c>
      <c r="G214" s="73" t="str">
        <f aca="false">IFERROR(AVERAGEIF('Registro de Fichas'!$D$7:$D$1200,$A214,'Registro de Fichas'!$I$7:$I$1200),"")</f>
        <v/>
      </c>
      <c r="H214" s="73" t="str">
        <f aca="false">IFERROR(AVERAGEIF('Registro de Fichas'!$D$7:$D$1200,$A214,'Registro de Fichas'!$J$7:$J$1200),"")</f>
        <v/>
      </c>
      <c r="I214" s="56" t="str">
        <f aca="false">IF($C214=0,"",IF($C214&gt;=Parametros!$B$27,"OK","FALTAN "&amp;(Parametros!$B$27-$C214)))</f>
        <v/>
      </c>
      <c r="J214" s="56" t="str">
        <f aca="false">IF($C214=0,"",SUMIF('Registro de Fichas'!$D$7:$D$1200,$A214,'Registro de Fichas'!$M$7:$M$1200))</f>
        <v/>
      </c>
      <c r="K214" s="74" t="n">
        <f aca="false">COUNTIFS('Registro de Fichas'!$D$7:$D$1200,$A214,'Registro de Fichas'!$K$7:$K$1200,"Contenedores")</f>
        <v>0</v>
      </c>
      <c r="L214" s="74" t="n">
        <f aca="false">COUNTIFS('Registro de Fichas'!$D$7:$D$1200,$A214,'Registro de Fichas'!$K$7:$K$1200,"Granel solido")</f>
        <v>0</v>
      </c>
      <c r="M214" s="74" t="n">
        <f aca="false">COUNTIFS('Registro de Fichas'!$D$7:$D$1200,$A214,'Registro de Fichas'!$K$7:$K$1200,"Carga fraccionada")</f>
        <v>0</v>
      </c>
      <c r="N214" s="74" t="n">
        <f aca="false">COUNTIFS('Registro de Fichas'!$D$7:$D$1200,$A214,'Registro de Fichas'!$K$7:$K$1200,"Big bags")</f>
        <v>0</v>
      </c>
      <c r="O214" s="74" t="n">
        <f aca="false">COUNTIFS('Registro de Fichas'!$D$7:$D$1200,$A214,'Registro de Fichas'!$L$7:$L$1200,"Si")</f>
        <v>0</v>
      </c>
      <c r="P214" s="75" t="str">
        <f aca="false">IF($C214=0,"",IF($C214&lt;Parametros!$B$27,"EVIDENCIA INSUFICIENTE",IF(AND($D214&lt;&gt;"",$C214&lt;$D214*Parametros!$B$28),"BAJO % MUESTREO",IF($J214&lt;Parametros!$B$31,"POCOS EVALUADORES","VALIDA"))))</f>
        <v/>
      </c>
    </row>
    <row r="215" customFormat="false" ht="15" hidden="false" customHeight="true" outlineLevel="0" collapsed="false">
      <c r="A215" s="72"/>
      <c r="B215" s="13" t="str">
        <f aca="false">IFERROR(INDEX('Registro de Fichas'!$E$7:$E$1200,MATCH($A215,'Registro de Fichas'!$D$7:$D$1200,0)),"")</f>
        <v/>
      </c>
      <c r="C215" s="26" t="n">
        <f aca="false">COUNTIF('Registro de Fichas'!$D$7:$D$1200,$A215)</f>
        <v>0</v>
      </c>
      <c r="D215" s="72"/>
      <c r="E215" s="73" t="str">
        <f aca="false">IFERROR(AVERAGEIF('Registro de Fichas'!$D$7:$D$1200,$A215,'Registro de Fichas'!$G$7:$G$1200),"")</f>
        <v/>
      </c>
      <c r="F215" s="73" t="str">
        <f aca="false">IFERROR(AVERAGEIF('Registro de Fichas'!$D$7:$D$1200,$A215,'Registro de Fichas'!$H$7:$H$1200),"")</f>
        <v/>
      </c>
      <c r="G215" s="73" t="str">
        <f aca="false">IFERROR(AVERAGEIF('Registro de Fichas'!$D$7:$D$1200,$A215,'Registro de Fichas'!$I$7:$I$1200),"")</f>
        <v/>
      </c>
      <c r="H215" s="73" t="str">
        <f aca="false">IFERROR(AVERAGEIF('Registro de Fichas'!$D$7:$D$1200,$A215,'Registro de Fichas'!$J$7:$J$1200),"")</f>
        <v/>
      </c>
      <c r="I215" s="38" t="str">
        <f aca="false">IF($C215=0,"",IF($C215&gt;=Parametros!$B$27,"OK","FALTAN "&amp;(Parametros!$B$27-$C215)))</f>
        <v/>
      </c>
      <c r="J215" s="38" t="str">
        <f aca="false">IF($C215=0,"",SUMIF('Registro de Fichas'!$D$7:$D$1200,$A215,'Registro de Fichas'!$M$7:$M$1200))</f>
        <v/>
      </c>
      <c r="K215" s="26" t="n">
        <f aca="false">COUNTIFS('Registro de Fichas'!$D$7:$D$1200,$A215,'Registro de Fichas'!$K$7:$K$1200,"Contenedores")</f>
        <v>0</v>
      </c>
      <c r="L215" s="26" t="n">
        <f aca="false">COUNTIFS('Registro de Fichas'!$D$7:$D$1200,$A215,'Registro de Fichas'!$K$7:$K$1200,"Granel solido")</f>
        <v>0</v>
      </c>
      <c r="M215" s="26" t="n">
        <f aca="false">COUNTIFS('Registro de Fichas'!$D$7:$D$1200,$A215,'Registro de Fichas'!$K$7:$K$1200,"Carga fraccionada")</f>
        <v>0</v>
      </c>
      <c r="N215" s="26" t="n">
        <f aca="false">COUNTIFS('Registro de Fichas'!$D$7:$D$1200,$A215,'Registro de Fichas'!$K$7:$K$1200,"Big bags")</f>
        <v>0</v>
      </c>
      <c r="O215" s="26" t="n">
        <f aca="false">COUNTIFS('Registro de Fichas'!$D$7:$D$1200,$A215,'Registro de Fichas'!$L$7:$L$1200,"Si")</f>
        <v>0</v>
      </c>
      <c r="P215" s="23" t="str">
        <f aca="false">IF($C215=0,"",IF($C215&lt;Parametros!$B$27,"EVIDENCIA INSUFICIENTE",IF(AND($D215&lt;&gt;"",$C215&lt;$D215*Parametros!$B$28),"BAJO % MUESTREO",IF($J215&lt;Parametros!$B$31,"POCOS EVALUADORES","VALIDA"))))</f>
        <v/>
      </c>
    </row>
    <row r="216" customFormat="false" ht="15" hidden="false" customHeight="true" outlineLevel="0" collapsed="false">
      <c r="A216" s="72"/>
      <c r="B216" s="16" t="str">
        <f aca="false">IFERROR(INDEX('Registro de Fichas'!$E$7:$E$1200,MATCH($A216,'Registro de Fichas'!$D$7:$D$1200,0)),"")</f>
        <v/>
      </c>
      <c r="C216" s="74" t="n">
        <f aca="false">COUNTIF('Registro de Fichas'!$D$7:$D$1200,$A216)</f>
        <v>0</v>
      </c>
      <c r="D216" s="72"/>
      <c r="E216" s="73" t="str">
        <f aca="false">IFERROR(AVERAGEIF('Registro de Fichas'!$D$7:$D$1200,$A216,'Registro de Fichas'!$G$7:$G$1200),"")</f>
        <v/>
      </c>
      <c r="F216" s="73" t="str">
        <f aca="false">IFERROR(AVERAGEIF('Registro de Fichas'!$D$7:$D$1200,$A216,'Registro de Fichas'!$H$7:$H$1200),"")</f>
        <v/>
      </c>
      <c r="G216" s="73" t="str">
        <f aca="false">IFERROR(AVERAGEIF('Registro de Fichas'!$D$7:$D$1200,$A216,'Registro de Fichas'!$I$7:$I$1200),"")</f>
        <v/>
      </c>
      <c r="H216" s="73" t="str">
        <f aca="false">IFERROR(AVERAGEIF('Registro de Fichas'!$D$7:$D$1200,$A216,'Registro de Fichas'!$J$7:$J$1200),"")</f>
        <v/>
      </c>
      <c r="I216" s="56" t="str">
        <f aca="false">IF($C216=0,"",IF($C216&gt;=Parametros!$B$27,"OK","FALTAN "&amp;(Parametros!$B$27-$C216)))</f>
        <v/>
      </c>
      <c r="J216" s="56" t="str">
        <f aca="false">IF($C216=0,"",SUMIF('Registro de Fichas'!$D$7:$D$1200,$A216,'Registro de Fichas'!$M$7:$M$1200))</f>
        <v/>
      </c>
      <c r="K216" s="74" t="n">
        <f aca="false">COUNTIFS('Registro de Fichas'!$D$7:$D$1200,$A216,'Registro de Fichas'!$K$7:$K$1200,"Contenedores")</f>
        <v>0</v>
      </c>
      <c r="L216" s="74" t="n">
        <f aca="false">COUNTIFS('Registro de Fichas'!$D$7:$D$1200,$A216,'Registro de Fichas'!$K$7:$K$1200,"Granel solido")</f>
        <v>0</v>
      </c>
      <c r="M216" s="74" t="n">
        <f aca="false">COUNTIFS('Registro de Fichas'!$D$7:$D$1200,$A216,'Registro de Fichas'!$K$7:$K$1200,"Carga fraccionada")</f>
        <v>0</v>
      </c>
      <c r="N216" s="74" t="n">
        <f aca="false">COUNTIFS('Registro de Fichas'!$D$7:$D$1200,$A216,'Registro de Fichas'!$K$7:$K$1200,"Big bags")</f>
        <v>0</v>
      </c>
      <c r="O216" s="74" t="n">
        <f aca="false">COUNTIFS('Registro de Fichas'!$D$7:$D$1200,$A216,'Registro de Fichas'!$L$7:$L$1200,"Si")</f>
        <v>0</v>
      </c>
      <c r="P216" s="75" t="str">
        <f aca="false">IF($C216=0,"",IF($C216&lt;Parametros!$B$27,"EVIDENCIA INSUFICIENTE",IF(AND($D216&lt;&gt;"",$C216&lt;$D216*Parametros!$B$28),"BAJO % MUESTREO",IF($J216&lt;Parametros!$B$31,"POCOS EVALUADORES","VALIDA"))))</f>
        <v/>
      </c>
    </row>
    <row r="217" customFormat="false" ht="15" hidden="false" customHeight="true" outlineLevel="0" collapsed="false">
      <c r="A217" s="72"/>
      <c r="B217" s="13" t="str">
        <f aca="false">IFERROR(INDEX('Registro de Fichas'!$E$7:$E$1200,MATCH($A217,'Registro de Fichas'!$D$7:$D$1200,0)),"")</f>
        <v/>
      </c>
      <c r="C217" s="26" t="n">
        <f aca="false">COUNTIF('Registro de Fichas'!$D$7:$D$1200,$A217)</f>
        <v>0</v>
      </c>
      <c r="D217" s="72"/>
      <c r="E217" s="73" t="str">
        <f aca="false">IFERROR(AVERAGEIF('Registro de Fichas'!$D$7:$D$1200,$A217,'Registro de Fichas'!$G$7:$G$1200),"")</f>
        <v/>
      </c>
      <c r="F217" s="73" t="str">
        <f aca="false">IFERROR(AVERAGEIF('Registro de Fichas'!$D$7:$D$1200,$A217,'Registro de Fichas'!$H$7:$H$1200),"")</f>
        <v/>
      </c>
      <c r="G217" s="73" t="str">
        <f aca="false">IFERROR(AVERAGEIF('Registro de Fichas'!$D$7:$D$1200,$A217,'Registro de Fichas'!$I$7:$I$1200),"")</f>
        <v/>
      </c>
      <c r="H217" s="73" t="str">
        <f aca="false">IFERROR(AVERAGEIF('Registro de Fichas'!$D$7:$D$1200,$A217,'Registro de Fichas'!$J$7:$J$1200),"")</f>
        <v/>
      </c>
      <c r="I217" s="38" t="str">
        <f aca="false">IF($C217=0,"",IF($C217&gt;=Parametros!$B$27,"OK","FALTAN "&amp;(Parametros!$B$27-$C217)))</f>
        <v/>
      </c>
      <c r="J217" s="38" t="str">
        <f aca="false">IF($C217=0,"",SUMIF('Registro de Fichas'!$D$7:$D$1200,$A217,'Registro de Fichas'!$M$7:$M$1200))</f>
        <v/>
      </c>
      <c r="K217" s="26" t="n">
        <f aca="false">COUNTIFS('Registro de Fichas'!$D$7:$D$1200,$A217,'Registro de Fichas'!$K$7:$K$1200,"Contenedores")</f>
        <v>0</v>
      </c>
      <c r="L217" s="26" t="n">
        <f aca="false">COUNTIFS('Registro de Fichas'!$D$7:$D$1200,$A217,'Registro de Fichas'!$K$7:$K$1200,"Granel solido")</f>
        <v>0</v>
      </c>
      <c r="M217" s="26" t="n">
        <f aca="false">COUNTIFS('Registro de Fichas'!$D$7:$D$1200,$A217,'Registro de Fichas'!$K$7:$K$1200,"Carga fraccionada")</f>
        <v>0</v>
      </c>
      <c r="N217" s="26" t="n">
        <f aca="false">COUNTIFS('Registro de Fichas'!$D$7:$D$1200,$A217,'Registro de Fichas'!$K$7:$K$1200,"Big bags")</f>
        <v>0</v>
      </c>
      <c r="O217" s="26" t="n">
        <f aca="false">COUNTIFS('Registro de Fichas'!$D$7:$D$1200,$A217,'Registro de Fichas'!$L$7:$L$1200,"Si")</f>
        <v>0</v>
      </c>
      <c r="P217" s="23" t="str">
        <f aca="false">IF($C217=0,"",IF($C217&lt;Parametros!$B$27,"EVIDENCIA INSUFICIENTE",IF(AND($D217&lt;&gt;"",$C217&lt;$D217*Parametros!$B$28),"BAJO % MUESTREO",IF($J217&lt;Parametros!$B$31,"POCOS EVALUADORES","VALIDA"))))</f>
        <v/>
      </c>
    </row>
    <row r="218" customFormat="false" ht="15" hidden="false" customHeight="true" outlineLevel="0" collapsed="false">
      <c r="A218" s="72"/>
      <c r="B218" s="16" t="str">
        <f aca="false">IFERROR(INDEX('Registro de Fichas'!$E$7:$E$1200,MATCH($A218,'Registro de Fichas'!$D$7:$D$1200,0)),"")</f>
        <v/>
      </c>
      <c r="C218" s="74" t="n">
        <f aca="false">COUNTIF('Registro de Fichas'!$D$7:$D$1200,$A218)</f>
        <v>0</v>
      </c>
      <c r="D218" s="72"/>
      <c r="E218" s="73" t="str">
        <f aca="false">IFERROR(AVERAGEIF('Registro de Fichas'!$D$7:$D$1200,$A218,'Registro de Fichas'!$G$7:$G$1200),"")</f>
        <v/>
      </c>
      <c r="F218" s="73" t="str">
        <f aca="false">IFERROR(AVERAGEIF('Registro de Fichas'!$D$7:$D$1200,$A218,'Registro de Fichas'!$H$7:$H$1200),"")</f>
        <v/>
      </c>
      <c r="G218" s="73" t="str">
        <f aca="false">IFERROR(AVERAGEIF('Registro de Fichas'!$D$7:$D$1200,$A218,'Registro de Fichas'!$I$7:$I$1200),"")</f>
        <v/>
      </c>
      <c r="H218" s="73" t="str">
        <f aca="false">IFERROR(AVERAGEIF('Registro de Fichas'!$D$7:$D$1200,$A218,'Registro de Fichas'!$J$7:$J$1200),"")</f>
        <v/>
      </c>
      <c r="I218" s="56" t="str">
        <f aca="false">IF($C218=0,"",IF($C218&gt;=Parametros!$B$27,"OK","FALTAN "&amp;(Parametros!$B$27-$C218)))</f>
        <v/>
      </c>
      <c r="J218" s="56" t="str">
        <f aca="false">IF($C218=0,"",SUMIF('Registro de Fichas'!$D$7:$D$1200,$A218,'Registro de Fichas'!$M$7:$M$1200))</f>
        <v/>
      </c>
      <c r="K218" s="74" t="n">
        <f aca="false">COUNTIFS('Registro de Fichas'!$D$7:$D$1200,$A218,'Registro de Fichas'!$K$7:$K$1200,"Contenedores")</f>
        <v>0</v>
      </c>
      <c r="L218" s="74" t="n">
        <f aca="false">COUNTIFS('Registro de Fichas'!$D$7:$D$1200,$A218,'Registro de Fichas'!$K$7:$K$1200,"Granel solido")</f>
        <v>0</v>
      </c>
      <c r="M218" s="74" t="n">
        <f aca="false">COUNTIFS('Registro de Fichas'!$D$7:$D$1200,$A218,'Registro de Fichas'!$K$7:$K$1200,"Carga fraccionada")</f>
        <v>0</v>
      </c>
      <c r="N218" s="74" t="n">
        <f aca="false">COUNTIFS('Registro de Fichas'!$D$7:$D$1200,$A218,'Registro de Fichas'!$K$7:$K$1200,"Big bags")</f>
        <v>0</v>
      </c>
      <c r="O218" s="74" t="n">
        <f aca="false">COUNTIFS('Registro de Fichas'!$D$7:$D$1200,$A218,'Registro de Fichas'!$L$7:$L$1200,"Si")</f>
        <v>0</v>
      </c>
      <c r="P218" s="75" t="str">
        <f aca="false">IF($C218=0,"",IF($C218&lt;Parametros!$B$27,"EVIDENCIA INSUFICIENTE",IF(AND($D218&lt;&gt;"",$C218&lt;$D218*Parametros!$B$28),"BAJO % MUESTREO",IF($J218&lt;Parametros!$B$31,"POCOS EVALUADORES","VALIDA"))))</f>
        <v/>
      </c>
    </row>
    <row r="219" customFormat="false" ht="15" hidden="false" customHeight="true" outlineLevel="0" collapsed="false">
      <c r="A219" s="72"/>
      <c r="B219" s="13" t="str">
        <f aca="false">IFERROR(INDEX('Registro de Fichas'!$E$7:$E$1200,MATCH($A219,'Registro de Fichas'!$D$7:$D$1200,0)),"")</f>
        <v/>
      </c>
      <c r="C219" s="26" t="n">
        <f aca="false">COUNTIF('Registro de Fichas'!$D$7:$D$1200,$A219)</f>
        <v>0</v>
      </c>
      <c r="D219" s="72"/>
      <c r="E219" s="73" t="str">
        <f aca="false">IFERROR(AVERAGEIF('Registro de Fichas'!$D$7:$D$1200,$A219,'Registro de Fichas'!$G$7:$G$1200),"")</f>
        <v/>
      </c>
      <c r="F219" s="73" t="str">
        <f aca="false">IFERROR(AVERAGEIF('Registro de Fichas'!$D$7:$D$1200,$A219,'Registro de Fichas'!$H$7:$H$1200),"")</f>
        <v/>
      </c>
      <c r="G219" s="73" t="str">
        <f aca="false">IFERROR(AVERAGEIF('Registro de Fichas'!$D$7:$D$1200,$A219,'Registro de Fichas'!$I$7:$I$1200),"")</f>
        <v/>
      </c>
      <c r="H219" s="73" t="str">
        <f aca="false">IFERROR(AVERAGEIF('Registro de Fichas'!$D$7:$D$1200,$A219,'Registro de Fichas'!$J$7:$J$1200),"")</f>
        <v/>
      </c>
      <c r="I219" s="38" t="str">
        <f aca="false">IF($C219=0,"",IF($C219&gt;=Parametros!$B$27,"OK","FALTAN "&amp;(Parametros!$B$27-$C219)))</f>
        <v/>
      </c>
      <c r="J219" s="38" t="str">
        <f aca="false">IF($C219=0,"",SUMIF('Registro de Fichas'!$D$7:$D$1200,$A219,'Registro de Fichas'!$M$7:$M$1200))</f>
        <v/>
      </c>
      <c r="K219" s="26" t="n">
        <f aca="false">COUNTIFS('Registro de Fichas'!$D$7:$D$1200,$A219,'Registro de Fichas'!$K$7:$K$1200,"Contenedores")</f>
        <v>0</v>
      </c>
      <c r="L219" s="26" t="n">
        <f aca="false">COUNTIFS('Registro de Fichas'!$D$7:$D$1200,$A219,'Registro de Fichas'!$K$7:$K$1200,"Granel solido")</f>
        <v>0</v>
      </c>
      <c r="M219" s="26" t="n">
        <f aca="false">COUNTIFS('Registro de Fichas'!$D$7:$D$1200,$A219,'Registro de Fichas'!$K$7:$K$1200,"Carga fraccionada")</f>
        <v>0</v>
      </c>
      <c r="N219" s="26" t="n">
        <f aca="false">COUNTIFS('Registro de Fichas'!$D$7:$D$1200,$A219,'Registro de Fichas'!$K$7:$K$1200,"Big bags")</f>
        <v>0</v>
      </c>
      <c r="O219" s="26" t="n">
        <f aca="false">COUNTIFS('Registro de Fichas'!$D$7:$D$1200,$A219,'Registro de Fichas'!$L$7:$L$1200,"Si")</f>
        <v>0</v>
      </c>
      <c r="P219" s="23" t="str">
        <f aca="false">IF($C219=0,"",IF($C219&lt;Parametros!$B$27,"EVIDENCIA INSUFICIENTE",IF(AND($D219&lt;&gt;"",$C219&lt;$D219*Parametros!$B$28),"BAJO % MUESTREO",IF($J219&lt;Parametros!$B$31,"POCOS EVALUADORES","VALIDA"))))</f>
        <v/>
      </c>
    </row>
    <row r="220" customFormat="false" ht="15" hidden="false" customHeight="true" outlineLevel="0" collapsed="false">
      <c r="A220" s="72"/>
      <c r="B220" s="16" t="str">
        <f aca="false">IFERROR(INDEX('Registro de Fichas'!$E$7:$E$1200,MATCH($A220,'Registro de Fichas'!$D$7:$D$1200,0)),"")</f>
        <v/>
      </c>
      <c r="C220" s="74" t="n">
        <f aca="false">COUNTIF('Registro de Fichas'!$D$7:$D$1200,$A220)</f>
        <v>0</v>
      </c>
      <c r="D220" s="72"/>
      <c r="E220" s="73" t="str">
        <f aca="false">IFERROR(AVERAGEIF('Registro de Fichas'!$D$7:$D$1200,$A220,'Registro de Fichas'!$G$7:$G$1200),"")</f>
        <v/>
      </c>
      <c r="F220" s="73" t="str">
        <f aca="false">IFERROR(AVERAGEIF('Registro de Fichas'!$D$7:$D$1200,$A220,'Registro de Fichas'!$H$7:$H$1200),"")</f>
        <v/>
      </c>
      <c r="G220" s="73" t="str">
        <f aca="false">IFERROR(AVERAGEIF('Registro de Fichas'!$D$7:$D$1200,$A220,'Registro de Fichas'!$I$7:$I$1200),"")</f>
        <v/>
      </c>
      <c r="H220" s="73" t="str">
        <f aca="false">IFERROR(AVERAGEIF('Registro de Fichas'!$D$7:$D$1200,$A220,'Registro de Fichas'!$J$7:$J$1200),"")</f>
        <v/>
      </c>
      <c r="I220" s="56" t="str">
        <f aca="false">IF($C220=0,"",IF($C220&gt;=Parametros!$B$27,"OK","FALTAN "&amp;(Parametros!$B$27-$C220)))</f>
        <v/>
      </c>
      <c r="J220" s="56" t="str">
        <f aca="false">IF($C220=0,"",SUMIF('Registro de Fichas'!$D$7:$D$1200,$A220,'Registro de Fichas'!$M$7:$M$1200))</f>
        <v/>
      </c>
      <c r="K220" s="74" t="n">
        <f aca="false">COUNTIFS('Registro de Fichas'!$D$7:$D$1200,$A220,'Registro de Fichas'!$K$7:$K$1200,"Contenedores")</f>
        <v>0</v>
      </c>
      <c r="L220" s="74" t="n">
        <f aca="false">COUNTIFS('Registro de Fichas'!$D$7:$D$1200,$A220,'Registro de Fichas'!$K$7:$K$1200,"Granel solido")</f>
        <v>0</v>
      </c>
      <c r="M220" s="74" t="n">
        <f aca="false">COUNTIFS('Registro de Fichas'!$D$7:$D$1200,$A220,'Registro de Fichas'!$K$7:$K$1200,"Carga fraccionada")</f>
        <v>0</v>
      </c>
      <c r="N220" s="74" t="n">
        <f aca="false">COUNTIFS('Registro de Fichas'!$D$7:$D$1200,$A220,'Registro de Fichas'!$K$7:$K$1200,"Big bags")</f>
        <v>0</v>
      </c>
      <c r="O220" s="74" t="n">
        <f aca="false">COUNTIFS('Registro de Fichas'!$D$7:$D$1200,$A220,'Registro de Fichas'!$L$7:$L$1200,"Si")</f>
        <v>0</v>
      </c>
      <c r="P220" s="75" t="str">
        <f aca="false">IF($C220=0,"",IF($C220&lt;Parametros!$B$27,"EVIDENCIA INSUFICIENTE",IF(AND($D220&lt;&gt;"",$C220&lt;$D220*Parametros!$B$28),"BAJO % MUESTREO",IF($J220&lt;Parametros!$B$31,"POCOS EVALUADORES","VALIDA"))))</f>
        <v/>
      </c>
    </row>
    <row r="221" customFormat="false" ht="15" hidden="false" customHeight="true" outlineLevel="0" collapsed="false">
      <c r="A221" s="72"/>
      <c r="B221" s="13" t="str">
        <f aca="false">IFERROR(INDEX('Registro de Fichas'!$E$7:$E$1200,MATCH($A221,'Registro de Fichas'!$D$7:$D$1200,0)),"")</f>
        <v/>
      </c>
      <c r="C221" s="26" t="n">
        <f aca="false">COUNTIF('Registro de Fichas'!$D$7:$D$1200,$A221)</f>
        <v>0</v>
      </c>
      <c r="D221" s="72"/>
      <c r="E221" s="73" t="str">
        <f aca="false">IFERROR(AVERAGEIF('Registro de Fichas'!$D$7:$D$1200,$A221,'Registro de Fichas'!$G$7:$G$1200),"")</f>
        <v/>
      </c>
      <c r="F221" s="73" t="str">
        <f aca="false">IFERROR(AVERAGEIF('Registro de Fichas'!$D$7:$D$1200,$A221,'Registro de Fichas'!$H$7:$H$1200),"")</f>
        <v/>
      </c>
      <c r="G221" s="73" t="str">
        <f aca="false">IFERROR(AVERAGEIF('Registro de Fichas'!$D$7:$D$1200,$A221,'Registro de Fichas'!$I$7:$I$1200),"")</f>
        <v/>
      </c>
      <c r="H221" s="73" t="str">
        <f aca="false">IFERROR(AVERAGEIF('Registro de Fichas'!$D$7:$D$1200,$A221,'Registro de Fichas'!$J$7:$J$1200),"")</f>
        <v/>
      </c>
      <c r="I221" s="38" t="str">
        <f aca="false">IF($C221=0,"",IF($C221&gt;=Parametros!$B$27,"OK","FALTAN "&amp;(Parametros!$B$27-$C221)))</f>
        <v/>
      </c>
      <c r="J221" s="38" t="str">
        <f aca="false">IF($C221=0,"",SUMIF('Registro de Fichas'!$D$7:$D$1200,$A221,'Registro de Fichas'!$M$7:$M$1200))</f>
        <v/>
      </c>
      <c r="K221" s="26" t="n">
        <f aca="false">COUNTIFS('Registro de Fichas'!$D$7:$D$1200,$A221,'Registro de Fichas'!$K$7:$K$1200,"Contenedores")</f>
        <v>0</v>
      </c>
      <c r="L221" s="26" t="n">
        <f aca="false">COUNTIFS('Registro de Fichas'!$D$7:$D$1200,$A221,'Registro de Fichas'!$K$7:$K$1200,"Granel solido")</f>
        <v>0</v>
      </c>
      <c r="M221" s="26" t="n">
        <f aca="false">COUNTIFS('Registro de Fichas'!$D$7:$D$1200,$A221,'Registro de Fichas'!$K$7:$K$1200,"Carga fraccionada")</f>
        <v>0</v>
      </c>
      <c r="N221" s="26" t="n">
        <f aca="false">COUNTIFS('Registro de Fichas'!$D$7:$D$1200,$A221,'Registro de Fichas'!$K$7:$K$1200,"Big bags")</f>
        <v>0</v>
      </c>
      <c r="O221" s="26" t="n">
        <f aca="false">COUNTIFS('Registro de Fichas'!$D$7:$D$1200,$A221,'Registro de Fichas'!$L$7:$L$1200,"Si")</f>
        <v>0</v>
      </c>
      <c r="P221" s="23" t="str">
        <f aca="false">IF($C221=0,"",IF($C221&lt;Parametros!$B$27,"EVIDENCIA INSUFICIENTE",IF(AND($D221&lt;&gt;"",$C221&lt;$D221*Parametros!$B$28),"BAJO % MUESTREO",IF($J221&lt;Parametros!$B$31,"POCOS EVALUADORES","VALIDA"))))</f>
        <v/>
      </c>
    </row>
    <row r="222" customFormat="false" ht="15" hidden="false" customHeight="true" outlineLevel="0" collapsed="false">
      <c r="A222" s="72"/>
      <c r="B222" s="16" t="str">
        <f aca="false">IFERROR(INDEX('Registro de Fichas'!$E$7:$E$1200,MATCH($A222,'Registro de Fichas'!$D$7:$D$1200,0)),"")</f>
        <v/>
      </c>
      <c r="C222" s="74" t="n">
        <f aca="false">COUNTIF('Registro de Fichas'!$D$7:$D$1200,$A222)</f>
        <v>0</v>
      </c>
      <c r="D222" s="72"/>
      <c r="E222" s="73" t="str">
        <f aca="false">IFERROR(AVERAGEIF('Registro de Fichas'!$D$7:$D$1200,$A222,'Registro de Fichas'!$G$7:$G$1200),"")</f>
        <v/>
      </c>
      <c r="F222" s="73" t="str">
        <f aca="false">IFERROR(AVERAGEIF('Registro de Fichas'!$D$7:$D$1200,$A222,'Registro de Fichas'!$H$7:$H$1200),"")</f>
        <v/>
      </c>
      <c r="G222" s="73" t="str">
        <f aca="false">IFERROR(AVERAGEIF('Registro de Fichas'!$D$7:$D$1200,$A222,'Registro de Fichas'!$I$7:$I$1200),"")</f>
        <v/>
      </c>
      <c r="H222" s="73" t="str">
        <f aca="false">IFERROR(AVERAGEIF('Registro de Fichas'!$D$7:$D$1200,$A222,'Registro de Fichas'!$J$7:$J$1200),"")</f>
        <v/>
      </c>
      <c r="I222" s="56" t="str">
        <f aca="false">IF($C222=0,"",IF($C222&gt;=Parametros!$B$27,"OK","FALTAN "&amp;(Parametros!$B$27-$C222)))</f>
        <v/>
      </c>
      <c r="J222" s="56" t="str">
        <f aca="false">IF($C222=0,"",SUMIF('Registro de Fichas'!$D$7:$D$1200,$A222,'Registro de Fichas'!$M$7:$M$1200))</f>
        <v/>
      </c>
      <c r="K222" s="74" t="n">
        <f aca="false">COUNTIFS('Registro de Fichas'!$D$7:$D$1200,$A222,'Registro de Fichas'!$K$7:$K$1200,"Contenedores")</f>
        <v>0</v>
      </c>
      <c r="L222" s="74" t="n">
        <f aca="false">COUNTIFS('Registro de Fichas'!$D$7:$D$1200,$A222,'Registro de Fichas'!$K$7:$K$1200,"Granel solido")</f>
        <v>0</v>
      </c>
      <c r="M222" s="74" t="n">
        <f aca="false">COUNTIFS('Registro de Fichas'!$D$7:$D$1200,$A222,'Registro de Fichas'!$K$7:$K$1200,"Carga fraccionada")</f>
        <v>0</v>
      </c>
      <c r="N222" s="74" t="n">
        <f aca="false">COUNTIFS('Registro de Fichas'!$D$7:$D$1200,$A222,'Registro de Fichas'!$K$7:$K$1200,"Big bags")</f>
        <v>0</v>
      </c>
      <c r="O222" s="74" t="n">
        <f aca="false">COUNTIFS('Registro de Fichas'!$D$7:$D$1200,$A222,'Registro de Fichas'!$L$7:$L$1200,"Si")</f>
        <v>0</v>
      </c>
      <c r="P222" s="75" t="str">
        <f aca="false">IF($C222=0,"",IF($C222&lt;Parametros!$B$27,"EVIDENCIA INSUFICIENTE",IF(AND($D222&lt;&gt;"",$C222&lt;$D222*Parametros!$B$28),"BAJO % MUESTREO",IF($J222&lt;Parametros!$B$31,"POCOS EVALUADORES","VALIDA"))))</f>
        <v/>
      </c>
    </row>
    <row r="223" customFormat="false" ht="15" hidden="false" customHeight="true" outlineLevel="0" collapsed="false">
      <c r="A223" s="72"/>
      <c r="B223" s="13" t="str">
        <f aca="false">IFERROR(INDEX('Registro de Fichas'!$E$7:$E$1200,MATCH($A223,'Registro de Fichas'!$D$7:$D$1200,0)),"")</f>
        <v/>
      </c>
      <c r="C223" s="26" t="n">
        <f aca="false">COUNTIF('Registro de Fichas'!$D$7:$D$1200,$A223)</f>
        <v>0</v>
      </c>
      <c r="D223" s="72"/>
      <c r="E223" s="73" t="str">
        <f aca="false">IFERROR(AVERAGEIF('Registro de Fichas'!$D$7:$D$1200,$A223,'Registro de Fichas'!$G$7:$G$1200),"")</f>
        <v/>
      </c>
      <c r="F223" s="73" t="str">
        <f aca="false">IFERROR(AVERAGEIF('Registro de Fichas'!$D$7:$D$1200,$A223,'Registro de Fichas'!$H$7:$H$1200),"")</f>
        <v/>
      </c>
      <c r="G223" s="73" t="str">
        <f aca="false">IFERROR(AVERAGEIF('Registro de Fichas'!$D$7:$D$1200,$A223,'Registro de Fichas'!$I$7:$I$1200),"")</f>
        <v/>
      </c>
      <c r="H223" s="73" t="str">
        <f aca="false">IFERROR(AVERAGEIF('Registro de Fichas'!$D$7:$D$1200,$A223,'Registro de Fichas'!$J$7:$J$1200),"")</f>
        <v/>
      </c>
      <c r="I223" s="38" t="str">
        <f aca="false">IF($C223=0,"",IF($C223&gt;=Parametros!$B$27,"OK","FALTAN "&amp;(Parametros!$B$27-$C223)))</f>
        <v/>
      </c>
      <c r="J223" s="38" t="str">
        <f aca="false">IF($C223=0,"",SUMIF('Registro de Fichas'!$D$7:$D$1200,$A223,'Registro de Fichas'!$M$7:$M$1200))</f>
        <v/>
      </c>
      <c r="K223" s="26" t="n">
        <f aca="false">COUNTIFS('Registro de Fichas'!$D$7:$D$1200,$A223,'Registro de Fichas'!$K$7:$K$1200,"Contenedores")</f>
        <v>0</v>
      </c>
      <c r="L223" s="26" t="n">
        <f aca="false">COUNTIFS('Registro de Fichas'!$D$7:$D$1200,$A223,'Registro de Fichas'!$K$7:$K$1200,"Granel solido")</f>
        <v>0</v>
      </c>
      <c r="M223" s="26" t="n">
        <f aca="false">COUNTIFS('Registro de Fichas'!$D$7:$D$1200,$A223,'Registro de Fichas'!$K$7:$K$1200,"Carga fraccionada")</f>
        <v>0</v>
      </c>
      <c r="N223" s="26" t="n">
        <f aca="false">COUNTIFS('Registro de Fichas'!$D$7:$D$1200,$A223,'Registro de Fichas'!$K$7:$K$1200,"Big bags")</f>
        <v>0</v>
      </c>
      <c r="O223" s="26" t="n">
        <f aca="false">COUNTIFS('Registro de Fichas'!$D$7:$D$1200,$A223,'Registro de Fichas'!$L$7:$L$1200,"Si")</f>
        <v>0</v>
      </c>
      <c r="P223" s="23" t="str">
        <f aca="false">IF($C223=0,"",IF($C223&lt;Parametros!$B$27,"EVIDENCIA INSUFICIENTE",IF(AND($D223&lt;&gt;"",$C223&lt;$D223*Parametros!$B$28),"BAJO % MUESTREO",IF($J223&lt;Parametros!$B$31,"POCOS EVALUADORES","VALIDA"))))</f>
        <v/>
      </c>
    </row>
    <row r="224" customFormat="false" ht="15" hidden="false" customHeight="true" outlineLevel="0" collapsed="false">
      <c r="A224" s="72"/>
      <c r="B224" s="16" t="str">
        <f aca="false">IFERROR(INDEX('Registro de Fichas'!$E$7:$E$1200,MATCH($A224,'Registro de Fichas'!$D$7:$D$1200,0)),"")</f>
        <v/>
      </c>
      <c r="C224" s="74" t="n">
        <f aca="false">COUNTIF('Registro de Fichas'!$D$7:$D$1200,$A224)</f>
        <v>0</v>
      </c>
      <c r="D224" s="72"/>
      <c r="E224" s="73" t="str">
        <f aca="false">IFERROR(AVERAGEIF('Registro de Fichas'!$D$7:$D$1200,$A224,'Registro de Fichas'!$G$7:$G$1200),"")</f>
        <v/>
      </c>
      <c r="F224" s="73" t="str">
        <f aca="false">IFERROR(AVERAGEIF('Registro de Fichas'!$D$7:$D$1200,$A224,'Registro de Fichas'!$H$7:$H$1200),"")</f>
        <v/>
      </c>
      <c r="G224" s="73" t="str">
        <f aca="false">IFERROR(AVERAGEIF('Registro de Fichas'!$D$7:$D$1200,$A224,'Registro de Fichas'!$I$7:$I$1200),"")</f>
        <v/>
      </c>
      <c r="H224" s="73" t="str">
        <f aca="false">IFERROR(AVERAGEIF('Registro de Fichas'!$D$7:$D$1200,$A224,'Registro de Fichas'!$J$7:$J$1200),"")</f>
        <v/>
      </c>
      <c r="I224" s="56" t="str">
        <f aca="false">IF($C224=0,"",IF($C224&gt;=Parametros!$B$27,"OK","FALTAN "&amp;(Parametros!$B$27-$C224)))</f>
        <v/>
      </c>
      <c r="J224" s="56" t="str">
        <f aca="false">IF($C224=0,"",SUMIF('Registro de Fichas'!$D$7:$D$1200,$A224,'Registro de Fichas'!$M$7:$M$1200))</f>
        <v/>
      </c>
      <c r="K224" s="74" t="n">
        <f aca="false">COUNTIFS('Registro de Fichas'!$D$7:$D$1200,$A224,'Registro de Fichas'!$K$7:$K$1200,"Contenedores")</f>
        <v>0</v>
      </c>
      <c r="L224" s="74" t="n">
        <f aca="false">COUNTIFS('Registro de Fichas'!$D$7:$D$1200,$A224,'Registro de Fichas'!$K$7:$K$1200,"Granel solido")</f>
        <v>0</v>
      </c>
      <c r="M224" s="74" t="n">
        <f aca="false">COUNTIFS('Registro de Fichas'!$D$7:$D$1200,$A224,'Registro de Fichas'!$K$7:$K$1200,"Carga fraccionada")</f>
        <v>0</v>
      </c>
      <c r="N224" s="74" t="n">
        <f aca="false">COUNTIFS('Registro de Fichas'!$D$7:$D$1200,$A224,'Registro de Fichas'!$K$7:$K$1200,"Big bags")</f>
        <v>0</v>
      </c>
      <c r="O224" s="74" t="n">
        <f aca="false">COUNTIFS('Registro de Fichas'!$D$7:$D$1200,$A224,'Registro de Fichas'!$L$7:$L$1200,"Si")</f>
        <v>0</v>
      </c>
      <c r="P224" s="75" t="str">
        <f aca="false">IF($C224=0,"",IF($C224&lt;Parametros!$B$27,"EVIDENCIA INSUFICIENTE",IF(AND($D224&lt;&gt;"",$C224&lt;$D224*Parametros!$B$28),"BAJO % MUESTREO",IF($J224&lt;Parametros!$B$31,"POCOS EVALUADORES","VALIDA"))))</f>
        <v/>
      </c>
    </row>
    <row r="225" customFormat="false" ht="15" hidden="false" customHeight="true" outlineLevel="0" collapsed="false">
      <c r="A225" s="72"/>
      <c r="B225" s="13" t="str">
        <f aca="false">IFERROR(INDEX('Registro de Fichas'!$E$7:$E$1200,MATCH($A225,'Registro de Fichas'!$D$7:$D$1200,0)),"")</f>
        <v/>
      </c>
      <c r="C225" s="26" t="n">
        <f aca="false">COUNTIF('Registro de Fichas'!$D$7:$D$1200,$A225)</f>
        <v>0</v>
      </c>
      <c r="D225" s="72"/>
      <c r="E225" s="73" t="str">
        <f aca="false">IFERROR(AVERAGEIF('Registro de Fichas'!$D$7:$D$1200,$A225,'Registro de Fichas'!$G$7:$G$1200),"")</f>
        <v/>
      </c>
      <c r="F225" s="73" t="str">
        <f aca="false">IFERROR(AVERAGEIF('Registro de Fichas'!$D$7:$D$1200,$A225,'Registro de Fichas'!$H$7:$H$1200),"")</f>
        <v/>
      </c>
      <c r="G225" s="73" t="str">
        <f aca="false">IFERROR(AVERAGEIF('Registro de Fichas'!$D$7:$D$1200,$A225,'Registro de Fichas'!$I$7:$I$1200),"")</f>
        <v/>
      </c>
      <c r="H225" s="73" t="str">
        <f aca="false">IFERROR(AVERAGEIF('Registro de Fichas'!$D$7:$D$1200,$A225,'Registro de Fichas'!$J$7:$J$1200),"")</f>
        <v/>
      </c>
      <c r="I225" s="38" t="str">
        <f aca="false">IF($C225=0,"",IF($C225&gt;=Parametros!$B$27,"OK","FALTAN "&amp;(Parametros!$B$27-$C225)))</f>
        <v/>
      </c>
      <c r="J225" s="38" t="str">
        <f aca="false">IF($C225=0,"",SUMIF('Registro de Fichas'!$D$7:$D$1200,$A225,'Registro de Fichas'!$M$7:$M$1200))</f>
        <v/>
      </c>
      <c r="K225" s="26" t="n">
        <f aca="false">COUNTIFS('Registro de Fichas'!$D$7:$D$1200,$A225,'Registro de Fichas'!$K$7:$K$1200,"Contenedores")</f>
        <v>0</v>
      </c>
      <c r="L225" s="26" t="n">
        <f aca="false">COUNTIFS('Registro de Fichas'!$D$7:$D$1200,$A225,'Registro de Fichas'!$K$7:$K$1200,"Granel solido")</f>
        <v>0</v>
      </c>
      <c r="M225" s="26" t="n">
        <f aca="false">COUNTIFS('Registro de Fichas'!$D$7:$D$1200,$A225,'Registro de Fichas'!$K$7:$K$1200,"Carga fraccionada")</f>
        <v>0</v>
      </c>
      <c r="N225" s="26" t="n">
        <f aca="false">COUNTIFS('Registro de Fichas'!$D$7:$D$1200,$A225,'Registro de Fichas'!$K$7:$K$1200,"Big bags")</f>
        <v>0</v>
      </c>
      <c r="O225" s="26" t="n">
        <f aca="false">COUNTIFS('Registro de Fichas'!$D$7:$D$1200,$A225,'Registro de Fichas'!$L$7:$L$1200,"Si")</f>
        <v>0</v>
      </c>
      <c r="P225" s="23" t="str">
        <f aca="false">IF($C225=0,"",IF($C225&lt;Parametros!$B$27,"EVIDENCIA INSUFICIENTE",IF(AND($D225&lt;&gt;"",$C225&lt;$D225*Parametros!$B$28),"BAJO % MUESTREO",IF($J225&lt;Parametros!$B$31,"POCOS EVALUADORES","VALIDA"))))</f>
        <v/>
      </c>
    </row>
    <row r="226" customFormat="false" ht="15" hidden="false" customHeight="true" outlineLevel="0" collapsed="false">
      <c r="A226" s="72"/>
      <c r="B226" s="16" t="str">
        <f aca="false">IFERROR(INDEX('Registro de Fichas'!$E$7:$E$1200,MATCH($A226,'Registro de Fichas'!$D$7:$D$1200,0)),"")</f>
        <v/>
      </c>
      <c r="C226" s="74" t="n">
        <f aca="false">COUNTIF('Registro de Fichas'!$D$7:$D$1200,$A226)</f>
        <v>0</v>
      </c>
      <c r="D226" s="72"/>
      <c r="E226" s="73" t="str">
        <f aca="false">IFERROR(AVERAGEIF('Registro de Fichas'!$D$7:$D$1200,$A226,'Registro de Fichas'!$G$7:$G$1200),"")</f>
        <v/>
      </c>
      <c r="F226" s="73" t="str">
        <f aca="false">IFERROR(AVERAGEIF('Registro de Fichas'!$D$7:$D$1200,$A226,'Registro de Fichas'!$H$7:$H$1200),"")</f>
        <v/>
      </c>
      <c r="G226" s="73" t="str">
        <f aca="false">IFERROR(AVERAGEIF('Registro de Fichas'!$D$7:$D$1200,$A226,'Registro de Fichas'!$I$7:$I$1200),"")</f>
        <v/>
      </c>
      <c r="H226" s="73" t="str">
        <f aca="false">IFERROR(AVERAGEIF('Registro de Fichas'!$D$7:$D$1200,$A226,'Registro de Fichas'!$J$7:$J$1200),"")</f>
        <v/>
      </c>
      <c r="I226" s="56" t="str">
        <f aca="false">IF($C226=0,"",IF($C226&gt;=Parametros!$B$27,"OK","FALTAN "&amp;(Parametros!$B$27-$C226)))</f>
        <v/>
      </c>
      <c r="J226" s="56" t="str">
        <f aca="false">IF($C226=0,"",SUMIF('Registro de Fichas'!$D$7:$D$1200,$A226,'Registro de Fichas'!$M$7:$M$1200))</f>
        <v/>
      </c>
      <c r="K226" s="74" t="n">
        <f aca="false">COUNTIFS('Registro de Fichas'!$D$7:$D$1200,$A226,'Registro de Fichas'!$K$7:$K$1200,"Contenedores")</f>
        <v>0</v>
      </c>
      <c r="L226" s="74" t="n">
        <f aca="false">COUNTIFS('Registro de Fichas'!$D$7:$D$1200,$A226,'Registro de Fichas'!$K$7:$K$1200,"Granel solido")</f>
        <v>0</v>
      </c>
      <c r="M226" s="74" t="n">
        <f aca="false">COUNTIFS('Registro de Fichas'!$D$7:$D$1200,$A226,'Registro de Fichas'!$K$7:$K$1200,"Carga fraccionada")</f>
        <v>0</v>
      </c>
      <c r="N226" s="74" t="n">
        <f aca="false">COUNTIFS('Registro de Fichas'!$D$7:$D$1200,$A226,'Registro de Fichas'!$K$7:$K$1200,"Big bags")</f>
        <v>0</v>
      </c>
      <c r="O226" s="74" t="n">
        <f aca="false">COUNTIFS('Registro de Fichas'!$D$7:$D$1200,$A226,'Registro de Fichas'!$L$7:$L$1200,"Si")</f>
        <v>0</v>
      </c>
      <c r="P226" s="75" t="str">
        <f aca="false">IF($C226=0,"",IF($C226&lt;Parametros!$B$27,"EVIDENCIA INSUFICIENTE",IF(AND($D226&lt;&gt;"",$C226&lt;$D226*Parametros!$B$28),"BAJO % MUESTREO",IF($J226&lt;Parametros!$B$31,"POCOS EVALUADORES","VALIDA"))))</f>
        <v/>
      </c>
    </row>
    <row r="227" customFormat="false" ht="15" hidden="false" customHeight="true" outlineLevel="0" collapsed="false">
      <c r="A227" s="72"/>
      <c r="B227" s="13" t="str">
        <f aca="false">IFERROR(INDEX('Registro de Fichas'!$E$7:$E$1200,MATCH($A227,'Registro de Fichas'!$D$7:$D$1200,0)),"")</f>
        <v/>
      </c>
      <c r="C227" s="26" t="n">
        <f aca="false">COUNTIF('Registro de Fichas'!$D$7:$D$1200,$A227)</f>
        <v>0</v>
      </c>
      <c r="D227" s="72"/>
      <c r="E227" s="73" t="str">
        <f aca="false">IFERROR(AVERAGEIF('Registro de Fichas'!$D$7:$D$1200,$A227,'Registro de Fichas'!$G$7:$G$1200),"")</f>
        <v/>
      </c>
      <c r="F227" s="73" t="str">
        <f aca="false">IFERROR(AVERAGEIF('Registro de Fichas'!$D$7:$D$1200,$A227,'Registro de Fichas'!$H$7:$H$1200),"")</f>
        <v/>
      </c>
      <c r="G227" s="73" t="str">
        <f aca="false">IFERROR(AVERAGEIF('Registro de Fichas'!$D$7:$D$1200,$A227,'Registro de Fichas'!$I$7:$I$1200),"")</f>
        <v/>
      </c>
      <c r="H227" s="73" t="str">
        <f aca="false">IFERROR(AVERAGEIF('Registro de Fichas'!$D$7:$D$1200,$A227,'Registro de Fichas'!$J$7:$J$1200),"")</f>
        <v/>
      </c>
      <c r="I227" s="38" t="str">
        <f aca="false">IF($C227=0,"",IF($C227&gt;=Parametros!$B$27,"OK","FALTAN "&amp;(Parametros!$B$27-$C227)))</f>
        <v/>
      </c>
      <c r="J227" s="38" t="str">
        <f aca="false">IF($C227=0,"",SUMIF('Registro de Fichas'!$D$7:$D$1200,$A227,'Registro de Fichas'!$M$7:$M$1200))</f>
        <v/>
      </c>
      <c r="K227" s="26" t="n">
        <f aca="false">COUNTIFS('Registro de Fichas'!$D$7:$D$1200,$A227,'Registro de Fichas'!$K$7:$K$1200,"Contenedores")</f>
        <v>0</v>
      </c>
      <c r="L227" s="26" t="n">
        <f aca="false">COUNTIFS('Registro de Fichas'!$D$7:$D$1200,$A227,'Registro de Fichas'!$K$7:$K$1200,"Granel solido")</f>
        <v>0</v>
      </c>
      <c r="M227" s="26" t="n">
        <f aca="false">COUNTIFS('Registro de Fichas'!$D$7:$D$1200,$A227,'Registro de Fichas'!$K$7:$K$1200,"Carga fraccionada")</f>
        <v>0</v>
      </c>
      <c r="N227" s="26" t="n">
        <f aca="false">COUNTIFS('Registro de Fichas'!$D$7:$D$1200,$A227,'Registro de Fichas'!$K$7:$K$1200,"Big bags")</f>
        <v>0</v>
      </c>
      <c r="O227" s="26" t="n">
        <f aca="false">COUNTIFS('Registro de Fichas'!$D$7:$D$1200,$A227,'Registro de Fichas'!$L$7:$L$1200,"Si")</f>
        <v>0</v>
      </c>
      <c r="P227" s="23" t="str">
        <f aca="false">IF($C227=0,"",IF($C227&lt;Parametros!$B$27,"EVIDENCIA INSUFICIENTE",IF(AND($D227&lt;&gt;"",$C227&lt;$D227*Parametros!$B$28),"BAJO % MUESTREO",IF($J227&lt;Parametros!$B$31,"POCOS EVALUADORES","VALIDA"))))</f>
        <v/>
      </c>
    </row>
    <row r="228" customFormat="false" ht="15" hidden="false" customHeight="true" outlineLevel="0" collapsed="false">
      <c r="A228" s="72"/>
      <c r="B228" s="16" t="str">
        <f aca="false">IFERROR(INDEX('Registro de Fichas'!$E$7:$E$1200,MATCH($A228,'Registro de Fichas'!$D$7:$D$1200,0)),"")</f>
        <v/>
      </c>
      <c r="C228" s="74" t="n">
        <f aca="false">COUNTIF('Registro de Fichas'!$D$7:$D$1200,$A228)</f>
        <v>0</v>
      </c>
      <c r="D228" s="72"/>
      <c r="E228" s="73" t="str">
        <f aca="false">IFERROR(AVERAGEIF('Registro de Fichas'!$D$7:$D$1200,$A228,'Registro de Fichas'!$G$7:$G$1200),"")</f>
        <v/>
      </c>
      <c r="F228" s="73" t="str">
        <f aca="false">IFERROR(AVERAGEIF('Registro de Fichas'!$D$7:$D$1200,$A228,'Registro de Fichas'!$H$7:$H$1200),"")</f>
        <v/>
      </c>
      <c r="G228" s="73" t="str">
        <f aca="false">IFERROR(AVERAGEIF('Registro de Fichas'!$D$7:$D$1200,$A228,'Registro de Fichas'!$I$7:$I$1200),"")</f>
        <v/>
      </c>
      <c r="H228" s="73" t="str">
        <f aca="false">IFERROR(AVERAGEIF('Registro de Fichas'!$D$7:$D$1200,$A228,'Registro de Fichas'!$J$7:$J$1200),"")</f>
        <v/>
      </c>
      <c r="I228" s="56" t="str">
        <f aca="false">IF($C228=0,"",IF($C228&gt;=Parametros!$B$27,"OK","FALTAN "&amp;(Parametros!$B$27-$C228)))</f>
        <v/>
      </c>
      <c r="J228" s="56" t="str">
        <f aca="false">IF($C228=0,"",SUMIF('Registro de Fichas'!$D$7:$D$1200,$A228,'Registro de Fichas'!$M$7:$M$1200))</f>
        <v/>
      </c>
      <c r="K228" s="74" t="n">
        <f aca="false">COUNTIFS('Registro de Fichas'!$D$7:$D$1200,$A228,'Registro de Fichas'!$K$7:$K$1200,"Contenedores")</f>
        <v>0</v>
      </c>
      <c r="L228" s="74" t="n">
        <f aca="false">COUNTIFS('Registro de Fichas'!$D$7:$D$1200,$A228,'Registro de Fichas'!$K$7:$K$1200,"Granel solido")</f>
        <v>0</v>
      </c>
      <c r="M228" s="74" t="n">
        <f aca="false">COUNTIFS('Registro de Fichas'!$D$7:$D$1200,$A228,'Registro de Fichas'!$K$7:$K$1200,"Carga fraccionada")</f>
        <v>0</v>
      </c>
      <c r="N228" s="74" t="n">
        <f aca="false">COUNTIFS('Registro de Fichas'!$D$7:$D$1200,$A228,'Registro de Fichas'!$K$7:$K$1200,"Big bags")</f>
        <v>0</v>
      </c>
      <c r="O228" s="74" t="n">
        <f aca="false">COUNTIFS('Registro de Fichas'!$D$7:$D$1200,$A228,'Registro de Fichas'!$L$7:$L$1200,"Si")</f>
        <v>0</v>
      </c>
      <c r="P228" s="75" t="str">
        <f aca="false">IF($C228=0,"",IF($C228&lt;Parametros!$B$27,"EVIDENCIA INSUFICIENTE",IF(AND($D228&lt;&gt;"",$C228&lt;$D228*Parametros!$B$28),"BAJO % MUESTREO",IF($J228&lt;Parametros!$B$31,"POCOS EVALUADORES","VALIDA"))))</f>
        <v/>
      </c>
    </row>
    <row r="229" customFormat="false" ht="15" hidden="false" customHeight="true" outlineLevel="0" collapsed="false">
      <c r="A229" s="72"/>
      <c r="B229" s="13" t="str">
        <f aca="false">IFERROR(INDEX('Registro de Fichas'!$E$7:$E$1200,MATCH($A229,'Registro de Fichas'!$D$7:$D$1200,0)),"")</f>
        <v/>
      </c>
      <c r="C229" s="26" t="n">
        <f aca="false">COUNTIF('Registro de Fichas'!$D$7:$D$1200,$A229)</f>
        <v>0</v>
      </c>
      <c r="D229" s="72"/>
      <c r="E229" s="73" t="str">
        <f aca="false">IFERROR(AVERAGEIF('Registro de Fichas'!$D$7:$D$1200,$A229,'Registro de Fichas'!$G$7:$G$1200),"")</f>
        <v/>
      </c>
      <c r="F229" s="73" t="str">
        <f aca="false">IFERROR(AVERAGEIF('Registro de Fichas'!$D$7:$D$1200,$A229,'Registro de Fichas'!$H$7:$H$1200),"")</f>
        <v/>
      </c>
      <c r="G229" s="73" t="str">
        <f aca="false">IFERROR(AVERAGEIF('Registro de Fichas'!$D$7:$D$1200,$A229,'Registro de Fichas'!$I$7:$I$1200),"")</f>
        <v/>
      </c>
      <c r="H229" s="73" t="str">
        <f aca="false">IFERROR(AVERAGEIF('Registro de Fichas'!$D$7:$D$1200,$A229,'Registro de Fichas'!$J$7:$J$1200),"")</f>
        <v/>
      </c>
      <c r="I229" s="38" t="str">
        <f aca="false">IF($C229=0,"",IF($C229&gt;=Parametros!$B$27,"OK","FALTAN "&amp;(Parametros!$B$27-$C229)))</f>
        <v/>
      </c>
      <c r="J229" s="38" t="str">
        <f aca="false">IF($C229=0,"",SUMIF('Registro de Fichas'!$D$7:$D$1200,$A229,'Registro de Fichas'!$M$7:$M$1200))</f>
        <v/>
      </c>
      <c r="K229" s="26" t="n">
        <f aca="false">COUNTIFS('Registro de Fichas'!$D$7:$D$1200,$A229,'Registro de Fichas'!$K$7:$K$1200,"Contenedores")</f>
        <v>0</v>
      </c>
      <c r="L229" s="26" t="n">
        <f aca="false">COUNTIFS('Registro de Fichas'!$D$7:$D$1200,$A229,'Registro de Fichas'!$K$7:$K$1200,"Granel solido")</f>
        <v>0</v>
      </c>
      <c r="M229" s="26" t="n">
        <f aca="false">COUNTIFS('Registro de Fichas'!$D$7:$D$1200,$A229,'Registro de Fichas'!$K$7:$K$1200,"Carga fraccionada")</f>
        <v>0</v>
      </c>
      <c r="N229" s="26" t="n">
        <f aca="false">COUNTIFS('Registro de Fichas'!$D$7:$D$1200,$A229,'Registro de Fichas'!$K$7:$K$1200,"Big bags")</f>
        <v>0</v>
      </c>
      <c r="O229" s="26" t="n">
        <f aca="false">COUNTIFS('Registro de Fichas'!$D$7:$D$1200,$A229,'Registro de Fichas'!$L$7:$L$1200,"Si")</f>
        <v>0</v>
      </c>
      <c r="P229" s="23" t="str">
        <f aca="false">IF($C229=0,"",IF($C229&lt;Parametros!$B$27,"EVIDENCIA INSUFICIENTE",IF(AND($D229&lt;&gt;"",$C229&lt;$D229*Parametros!$B$28),"BAJO % MUESTREO",IF($J229&lt;Parametros!$B$31,"POCOS EVALUADORES","VALIDA"))))</f>
        <v/>
      </c>
    </row>
    <row r="230" customFormat="false" ht="15" hidden="false" customHeight="true" outlineLevel="0" collapsed="false">
      <c r="A230" s="72"/>
      <c r="B230" s="16" t="str">
        <f aca="false">IFERROR(INDEX('Registro de Fichas'!$E$7:$E$1200,MATCH($A230,'Registro de Fichas'!$D$7:$D$1200,0)),"")</f>
        <v/>
      </c>
      <c r="C230" s="74" t="n">
        <f aca="false">COUNTIF('Registro de Fichas'!$D$7:$D$1200,$A230)</f>
        <v>0</v>
      </c>
      <c r="D230" s="72"/>
      <c r="E230" s="73" t="str">
        <f aca="false">IFERROR(AVERAGEIF('Registro de Fichas'!$D$7:$D$1200,$A230,'Registro de Fichas'!$G$7:$G$1200),"")</f>
        <v/>
      </c>
      <c r="F230" s="73" t="str">
        <f aca="false">IFERROR(AVERAGEIF('Registro de Fichas'!$D$7:$D$1200,$A230,'Registro de Fichas'!$H$7:$H$1200),"")</f>
        <v/>
      </c>
      <c r="G230" s="73" t="str">
        <f aca="false">IFERROR(AVERAGEIF('Registro de Fichas'!$D$7:$D$1200,$A230,'Registro de Fichas'!$I$7:$I$1200),"")</f>
        <v/>
      </c>
      <c r="H230" s="73" t="str">
        <f aca="false">IFERROR(AVERAGEIF('Registro de Fichas'!$D$7:$D$1200,$A230,'Registro de Fichas'!$J$7:$J$1200),"")</f>
        <v/>
      </c>
      <c r="I230" s="56" t="str">
        <f aca="false">IF($C230=0,"",IF($C230&gt;=Parametros!$B$27,"OK","FALTAN "&amp;(Parametros!$B$27-$C230)))</f>
        <v/>
      </c>
      <c r="J230" s="56" t="str">
        <f aca="false">IF($C230=0,"",SUMIF('Registro de Fichas'!$D$7:$D$1200,$A230,'Registro de Fichas'!$M$7:$M$1200))</f>
        <v/>
      </c>
      <c r="K230" s="74" t="n">
        <f aca="false">COUNTIFS('Registro de Fichas'!$D$7:$D$1200,$A230,'Registro de Fichas'!$K$7:$K$1200,"Contenedores")</f>
        <v>0</v>
      </c>
      <c r="L230" s="74" t="n">
        <f aca="false">COUNTIFS('Registro de Fichas'!$D$7:$D$1200,$A230,'Registro de Fichas'!$K$7:$K$1200,"Granel solido")</f>
        <v>0</v>
      </c>
      <c r="M230" s="74" t="n">
        <f aca="false">COUNTIFS('Registro de Fichas'!$D$7:$D$1200,$A230,'Registro de Fichas'!$K$7:$K$1200,"Carga fraccionada")</f>
        <v>0</v>
      </c>
      <c r="N230" s="74" t="n">
        <f aca="false">COUNTIFS('Registro de Fichas'!$D$7:$D$1200,$A230,'Registro de Fichas'!$K$7:$K$1200,"Big bags")</f>
        <v>0</v>
      </c>
      <c r="O230" s="74" t="n">
        <f aca="false">COUNTIFS('Registro de Fichas'!$D$7:$D$1200,$A230,'Registro de Fichas'!$L$7:$L$1200,"Si")</f>
        <v>0</v>
      </c>
      <c r="P230" s="75" t="str">
        <f aca="false">IF($C230=0,"",IF($C230&lt;Parametros!$B$27,"EVIDENCIA INSUFICIENTE",IF(AND($D230&lt;&gt;"",$C230&lt;$D230*Parametros!$B$28),"BAJO % MUESTREO",IF($J230&lt;Parametros!$B$31,"POCOS EVALUADORES","VALIDA"))))</f>
        <v/>
      </c>
    </row>
    <row r="231" customFormat="false" ht="15" hidden="false" customHeight="true" outlineLevel="0" collapsed="false">
      <c r="A231" s="72"/>
      <c r="B231" s="13" t="str">
        <f aca="false">IFERROR(INDEX('Registro de Fichas'!$E$7:$E$1200,MATCH($A231,'Registro de Fichas'!$D$7:$D$1200,0)),"")</f>
        <v/>
      </c>
      <c r="C231" s="26" t="n">
        <f aca="false">COUNTIF('Registro de Fichas'!$D$7:$D$1200,$A231)</f>
        <v>0</v>
      </c>
      <c r="D231" s="72"/>
      <c r="E231" s="73" t="str">
        <f aca="false">IFERROR(AVERAGEIF('Registro de Fichas'!$D$7:$D$1200,$A231,'Registro de Fichas'!$G$7:$G$1200),"")</f>
        <v/>
      </c>
      <c r="F231" s="73" t="str">
        <f aca="false">IFERROR(AVERAGEIF('Registro de Fichas'!$D$7:$D$1200,$A231,'Registro de Fichas'!$H$7:$H$1200),"")</f>
        <v/>
      </c>
      <c r="G231" s="73" t="str">
        <f aca="false">IFERROR(AVERAGEIF('Registro de Fichas'!$D$7:$D$1200,$A231,'Registro de Fichas'!$I$7:$I$1200),"")</f>
        <v/>
      </c>
      <c r="H231" s="73" t="str">
        <f aca="false">IFERROR(AVERAGEIF('Registro de Fichas'!$D$7:$D$1200,$A231,'Registro de Fichas'!$J$7:$J$1200),"")</f>
        <v/>
      </c>
      <c r="I231" s="38" t="str">
        <f aca="false">IF($C231=0,"",IF($C231&gt;=Parametros!$B$27,"OK","FALTAN "&amp;(Parametros!$B$27-$C231)))</f>
        <v/>
      </c>
      <c r="J231" s="38" t="str">
        <f aca="false">IF($C231=0,"",SUMIF('Registro de Fichas'!$D$7:$D$1200,$A231,'Registro de Fichas'!$M$7:$M$1200))</f>
        <v/>
      </c>
      <c r="K231" s="26" t="n">
        <f aca="false">COUNTIFS('Registro de Fichas'!$D$7:$D$1200,$A231,'Registro de Fichas'!$K$7:$K$1200,"Contenedores")</f>
        <v>0</v>
      </c>
      <c r="L231" s="26" t="n">
        <f aca="false">COUNTIFS('Registro de Fichas'!$D$7:$D$1200,$A231,'Registro de Fichas'!$K$7:$K$1200,"Granel solido")</f>
        <v>0</v>
      </c>
      <c r="M231" s="26" t="n">
        <f aca="false">COUNTIFS('Registro de Fichas'!$D$7:$D$1200,$A231,'Registro de Fichas'!$K$7:$K$1200,"Carga fraccionada")</f>
        <v>0</v>
      </c>
      <c r="N231" s="26" t="n">
        <f aca="false">COUNTIFS('Registro de Fichas'!$D$7:$D$1200,$A231,'Registro de Fichas'!$K$7:$K$1200,"Big bags")</f>
        <v>0</v>
      </c>
      <c r="O231" s="26" t="n">
        <f aca="false">COUNTIFS('Registro de Fichas'!$D$7:$D$1200,$A231,'Registro de Fichas'!$L$7:$L$1200,"Si")</f>
        <v>0</v>
      </c>
      <c r="P231" s="23" t="str">
        <f aca="false">IF($C231=0,"",IF($C231&lt;Parametros!$B$27,"EVIDENCIA INSUFICIENTE",IF(AND($D231&lt;&gt;"",$C231&lt;$D231*Parametros!$B$28),"BAJO % MUESTREO",IF($J231&lt;Parametros!$B$31,"POCOS EVALUADORES","VALIDA"))))</f>
        <v/>
      </c>
    </row>
    <row r="232" customFormat="false" ht="15" hidden="false" customHeight="true" outlineLevel="0" collapsed="false">
      <c r="A232" s="72"/>
      <c r="B232" s="16" t="str">
        <f aca="false">IFERROR(INDEX('Registro de Fichas'!$E$7:$E$1200,MATCH($A232,'Registro de Fichas'!$D$7:$D$1200,0)),"")</f>
        <v/>
      </c>
      <c r="C232" s="74" t="n">
        <f aca="false">COUNTIF('Registro de Fichas'!$D$7:$D$1200,$A232)</f>
        <v>0</v>
      </c>
      <c r="D232" s="72"/>
      <c r="E232" s="73" t="str">
        <f aca="false">IFERROR(AVERAGEIF('Registro de Fichas'!$D$7:$D$1200,$A232,'Registro de Fichas'!$G$7:$G$1200),"")</f>
        <v/>
      </c>
      <c r="F232" s="73" t="str">
        <f aca="false">IFERROR(AVERAGEIF('Registro de Fichas'!$D$7:$D$1200,$A232,'Registro de Fichas'!$H$7:$H$1200),"")</f>
        <v/>
      </c>
      <c r="G232" s="73" t="str">
        <f aca="false">IFERROR(AVERAGEIF('Registro de Fichas'!$D$7:$D$1200,$A232,'Registro de Fichas'!$I$7:$I$1200),"")</f>
        <v/>
      </c>
      <c r="H232" s="73" t="str">
        <f aca="false">IFERROR(AVERAGEIF('Registro de Fichas'!$D$7:$D$1200,$A232,'Registro de Fichas'!$J$7:$J$1200),"")</f>
        <v/>
      </c>
      <c r="I232" s="56" t="str">
        <f aca="false">IF($C232=0,"",IF($C232&gt;=Parametros!$B$27,"OK","FALTAN "&amp;(Parametros!$B$27-$C232)))</f>
        <v/>
      </c>
      <c r="J232" s="56" t="str">
        <f aca="false">IF($C232=0,"",SUMIF('Registro de Fichas'!$D$7:$D$1200,$A232,'Registro de Fichas'!$M$7:$M$1200))</f>
        <v/>
      </c>
      <c r="K232" s="74" t="n">
        <f aca="false">COUNTIFS('Registro de Fichas'!$D$7:$D$1200,$A232,'Registro de Fichas'!$K$7:$K$1200,"Contenedores")</f>
        <v>0</v>
      </c>
      <c r="L232" s="74" t="n">
        <f aca="false">COUNTIFS('Registro de Fichas'!$D$7:$D$1200,$A232,'Registro de Fichas'!$K$7:$K$1200,"Granel solido")</f>
        <v>0</v>
      </c>
      <c r="M232" s="74" t="n">
        <f aca="false">COUNTIFS('Registro de Fichas'!$D$7:$D$1200,$A232,'Registro de Fichas'!$K$7:$K$1200,"Carga fraccionada")</f>
        <v>0</v>
      </c>
      <c r="N232" s="74" t="n">
        <f aca="false">COUNTIFS('Registro de Fichas'!$D$7:$D$1200,$A232,'Registro de Fichas'!$K$7:$K$1200,"Big bags")</f>
        <v>0</v>
      </c>
      <c r="O232" s="74" t="n">
        <f aca="false">COUNTIFS('Registro de Fichas'!$D$7:$D$1200,$A232,'Registro de Fichas'!$L$7:$L$1200,"Si")</f>
        <v>0</v>
      </c>
      <c r="P232" s="75" t="str">
        <f aca="false">IF($C232=0,"",IF($C232&lt;Parametros!$B$27,"EVIDENCIA INSUFICIENTE",IF(AND($D232&lt;&gt;"",$C232&lt;$D232*Parametros!$B$28),"BAJO % MUESTREO",IF($J232&lt;Parametros!$B$31,"POCOS EVALUADORES","VALIDA"))))</f>
        <v/>
      </c>
    </row>
    <row r="233" customFormat="false" ht="15" hidden="false" customHeight="true" outlineLevel="0" collapsed="false">
      <c r="A233" s="72"/>
      <c r="B233" s="13" t="str">
        <f aca="false">IFERROR(INDEX('Registro de Fichas'!$E$7:$E$1200,MATCH($A233,'Registro de Fichas'!$D$7:$D$1200,0)),"")</f>
        <v/>
      </c>
      <c r="C233" s="26" t="n">
        <f aca="false">COUNTIF('Registro de Fichas'!$D$7:$D$1200,$A233)</f>
        <v>0</v>
      </c>
      <c r="D233" s="72"/>
      <c r="E233" s="73" t="str">
        <f aca="false">IFERROR(AVERAGEIF('Registro de Fichas'!$D$7:$D$1200,$A233,'Registro de Fichas'!$G$7:$G$1200),"")</f>
        <v/>
      </c>
      <c r="F233" s="73" t="str">
        <f aca="false">IFERROR(AVERAGEIF('Registro de Fichas'!$D$7:$D$1200,$A233,'Registro de Fichas'!$H$7:$H$1200),"")</f>
        <v/>
      </c>
      <c r="G233" s="73" t="str">
        <f aca="false">IFERROR(AVERAGEIF('Registro de Fichas'!$D$7:$D$1200,$A233,'Registro de Fichas'!$I$7:$I$1200),"")</f>
        <v/>
      </c>
      <c r="H233" s="73" t="str">
        <f aca="false">IFERROR(AVERAGEIF('Registro de Fichas'!$D$7:$D$1200,$A233,'Registro de Fichas'!$J$7:$J$1200),"")</f>
        <v/>
      </c>
      <c r="I233" s="38" t="str">
        <f aca="false">IF($C233=0,"",IF($C233&gt;=Parametros!$B$27,"OK","FALTAN "&amp;(Parametros!$B$27-$C233)))</f>
        <v/>
      </c>
      <c r="J233" s="38" t="str">
        <f aca="false">IF($C233=0,"",SUMIF('Registro de Fichas'!$D$7:$D$1200,$A233,'Registro de Fichas'!$M$7:$M$1200))</f>
        <v/>
      </c>
      <c r="K233" s="26" t="n">
        <f aca="false">COUNTIFS('Registro de Fichas'!$D$7:$D$1200,$A233,'Registro de Fichas'!$K$7:$K$1200,"Contenedores")</f>
        <v>0</v>
      </c>
      <c r="L233" s="26" t="n">
        <f aca="false">COUNTIFS('Registro de Fichas'!$D$7:$D$1200,$A233,'Registro de Fichas'!$K$7:$K$1200,"Granel solido")</f>
        <v>0</v>
      </c>
      <c r="M233" s="26" t="n">
        <f aca="false">COUNTIFS('Registro de Fichas'!$D$7:$D$1200,$A233,'Registro de Fichas'!$K$7:$K$1200,"Carga fraccionada")</f>
        <v>0</v>
      </c>
      <c r="N233" s="26" t="n">
        <f aca="false">COUNTIFS('Registro de Fichas'!$D$7:$D$1200,$A233,'Registro de Fichas'!$K$7:$K$1200,"Big bags")</f>
        <v>0</v>
      </c>
      <c r="O233" s="26" t="n">
        <f aca="false">COUNTIFS('Registro de Fichas'!$D$7:$D$1200,$A233,'Registro de Fichas'!$L$7:$L$1200,"Si")</f>
        <v>0</v>
      </c>
      <c r="P233" s="23" t="str">
        <f aca="false">IF($C233=0,"",IF($C233&lt;Parametros!$B$27,"EVIDENCIA INSUFICIENTE",IF(AND($D233&lt;&gt;"",$C233&lt;$D233*Parametros!$B$28),"BAJO % MUESTREO",IF($J233&lt;Parametros!$B$31,"POCOS EVALUADORES","VALIDA"))))</f>
        <v/>
      </c>
    </row>
    <row r="234" customFormat="false" ht="15" hidden="false" customHeight="true" outlineLevel="0" collapsed="false">
      <c r="A234" s="72"/>
      <c r="B234" s="16" t="str">
        <f aca="false">IFERROR(INDEX('Registro de Fichas'!$E$7:$E$1200,MATCH($A234,'Registro de Fichas'!$D$7:$D$1200,0)),"")</f>
        <v/>
      </c>
      <c r="C234" s="74" t="n">
        <f aca="false">COUNTIF('Registro de Fichas'!$D$7:$D$1200,$A234)</f>
        <v>0</v>
      </c>
      <c r="D234" s="72"/>
      <c r="E234" s="73" t="str">
        <f aca="false">IFERROR(AVERAGEIF('Registro de Fichas'!$D$7:$D$1200,$A234,'Registro de Fichas'!$G$7:$G$1200),"")</f>
        <v/>
      </c>
      <c r="F234" s="73" t="str">
        <f aca="false">IFERROR(AVERAGEIF('Registro de Fichas'!$D$7:$D$1200,$A234,'Registro de Fichas'!$H$7:$H$1200),"")</f>
        <v/>
      </c>
      <c r="G234" s="73" t="str">
        <f aca="false">IFERROR(AVERAGEIF('Registro de Fichas'!$D$7:$D$1200,$A234,'Registro de Fichas'!$I$7:$I$1200),"")</f>
        <v/>
      </c>
      <c r="H234" s="73" t="str">
        <f aca="false">IFERROR(AVERAGEIF('Registro de Fichas'!$D$7:$D$1200,$A234,'Registro de Fichas'!$J$7:$J$1200),"")</f>
        <v/>
      </c>
      <c r="I234" s="56" t="str">
        <f aca="false">IF($C234=0,"",IF($C234&gt;=Parametros!$B$27,"OK","FALTAN "&amp;(Parametros!$B$27-$C234)))</f>
        <v/>
      </c>
      <c r="J234" s="56" t="str">
        <f aca="false">IF($C234=0,"",SUMIF('Registro de Fichas'!$D$7:$D$1200,$A234,'Registro de Fichas'!$M$7:$M$1200))</f>
        <v/>
      </c>
      <c r="K234" s="74" t="n">
        <f aca="false">COUNTIFS('Registro de Fichas'!$D$7:$D$1200,$A234,'Registro de Fichas'!$K$7:$K$1200,"Contenedores")</f>
        <v>0</v>
      </c>
      <c r="L234" s="74" t="n">
        <f aca="false">COUNTIFS('Registro de Fichas'!$D$7:$D$1200,$A234,'Registro de Fichas'!$K$7:$K$1200,"Granel solido")</f>
        <v>0</v>
      </c>
      <c r="M234" s="74" t="n">
        <f aca="false">COUNTIFS('Registro de Fichas'!$D$7:$D$1200,$A234,'Registro de Fichas'!$K$7:$K$1200,"Carga fraccionada")</f>
        <v>0</v>
      </c>
      <c r="N234" s="74" t="n">
        <f aca="false">COUNTIFS('Registro de Fichas'!$D$7:$D$1200,$A234,'Registro de Fichas'!$K$7:$K$1200,"Big bags")</f>
        <v>0</v>
      </c>
      <c r="O234" s="74" t="n">
        <f aca="false">COUNTIFS('Registro de Fichas'!$D$7:$D$1200,$A234,'Registro de Fichas'!$L$7:$L$1200,"Si")</f>
        <v>0</v>
      </c>
      <c r="P234" s="75" t="str">
        <f aca="false">IF($C234=0,"",IF($C234&lt;Parametros!$B$27,"EVIDENCIA INSUFICIENTE",IF(AND($D234&lt;&gt;"",$C234&lt;$D234*Parametros!$B$28),"BAJO % MUESTREO",IF($J234&lt;Parametros!$B$31,"POCOS EVALUADORES","VALIDA"))))</f>
        <v/>
      </c>
    </row>
    <row r="235" customFormat="false" ht="15" hidden="false" customHeight="true" outlineLevel="0" collapsed="false">
      <c r="A235" s="72"/>
      <c r="B235" s="13" t="str">
        <f aca="false">IFERROR(INDEX('Registro de Fichas'!$E$7:$E$1200,MATCH($A235,'Registro de Fichas'!$D$7:$D$1200,0)),"")</f>
        <v/>
      </c>
      <c r="C235" s="26" t="n">
        <f aca="false">COUNTIF('Registro de Fichas'!$D$7:$D$1200,$A235)</f>
        <v>0</v>
      </c>
      <c r="D235" s="72"/>
      <c r="E235" s="73" t="str">
        <f aca="false">IFERROR(AVERAGEIF('Registro de Fichas'!$D$7:$D$1200,$A235,'Registro de Fichas'!$G$7:$G$1200),"")</f>
        <v/>
      </c>
      <c r="F235" s="73" t="str">
        <f aca="false">IFERROR(AVERAGEIF('Registro de Fichas'!$D$7:$D$1200,$A235,'Registro de Fichas'!$H$7:$H$1200),"")</f>
        <v/>
      </c>
      <c r="G235" s="73" t="str">
        <f aca="false">IFERROR(AVERAGEIF('Registro de Fichas'!$D$7:$D$1200,$A235,'Registro de Fichas'!$I$7:$I$1200),"")</f>
        <v/>
      </c>
      <c r="H235" s="73" t="str">
        <f aca="false">IFERROR(AVERAGEIF('Registro de Fichas'!$D$7:$D$1200,$A235,'Registro de Fichas'!$J$7:$J$1200),"")</f>
        <v/>
      </c>
      <c r="I235" s="38" t="str">
        <f aca="false">IF($C235=0,"",IF($C235&gt;=Parametros!$B$27,"OK","FALTAN "&amp;(Parametros!$B$27-$C235)))</f>
        <v/>
      </c>
      <c r="J235" s="38" t="str">
        <f aca="false">IF($C235=0,"",SUMIF('Registro de Fichas'!$D$7:$D$1200,$A235,'Registro de Fichas'!$M$7:$M$1200))</f>
        <v/>
      </c>
      <c r="K235" s="26" t="n">
        <f aca="false">COUNTIFS('Registro de Fichas'!$D$7:$D$1200,$A235,'Registro de Fichas'!$K$7:$K$1200,"Contenedores")</f>
        <v>0</v>
      </c>
      <c r="L235" s="26" t="n">
        <f aca="false">COUNTIFS('Registro de Fichas'!$D$7:$D$1200,$A235,'Registro de Fichas'!$K$7:$K$1200,"Granel solido")</f>
        <v>0</v>
      </c>
      <c r="M235" s="26" t="n">
        <f aca="false">COUNTIFS('Registro de Fichas'!$D$7:$D$1200,$A235,'Registro de Fichas'!$K$7:$K$1200,"Carga fraccionada")</f>
        <v>0</v>
      </c>
      <c r="N235" s="26" t="n">
        <f aca="false">COUNTIFS('Registro de Fichas'!$D$7:$D$1200,$A235,'Registro de Fichas'!$K$7:$K$1200,"Big bags")</f>
        <v>0</v>
      </c>
      <c r="O235" s="26" t="n">
        <f aca="false">COUNTIFS('Registro de Fichas'!$D$7:$D$1200,$A235,'Registro de Fichas'!$L$7:$L$1200,"Si")</f>
        <v>0</v>
      </c>
      <c r="P235" s="23" t="str">
        <f aca="false">IF($C235=0,"",IF($C235&lt;Parametros!$B$27,"EVIDENCIA INSUFICIENTE",IF(AND($D235&lt;&gt;"",$C235&lt;$D235*Parametros!$B$28),"BAJO % MUESTREO",IF($J235&lt;Parametros!$B$31,"POCOS EVALUADORES","VALIDA"))))</f>
        <v/>
      </c>
    </row>
    <row r="236" customFormat="false" ht="15" hidden="false" customHeight="true" outlineLevel="0" collapsed="false">
      <c r="A236" s="72"/>
      <c r="B236" s="16" t="str">
        <f aca="false">IFERROR(INDEX('Registro de Fichas'!$E$7:$E$1200,MATCH($A236,'Registro de Fichas'!$D$7:$D$1200,0)),"")</f>
        <v/>
      </c>
      <c r="C236" s="74" t="n">
        <f aca="false">COUNTIF('Registro de Fichas'!$D$7:$D$1200,$A236)</f>
        <v>0</v>
      </c>
      <c r="D236" s="72"/>
      <c r="E236" s="73" t="str">
        <f aca="false">IFERROR(AVERAGEIF('Registro de Fichas'!$D$7:$D$1200,$A236,'Registro de Fichas'!$G$7:$G$1200),"")</f>
        <v/>
      </c>
      <c r="F236" s="73" t="str">
        <f aca="false">IFERROR(AVERAGEIF('Registro de Fichas'!$D$7:$D$1200,$A236,'Registro de Fichas'!$H$7:$H$1200),"")</f>
        <v/>
      </c>
      <c r="G236" s="73" t="str">
        <f aca="false">IFERROR(AVERAGEIF('Registro de Fichas'!$D$7:$D$1200,$A236,'Registro de Fichas'!$I$7:$I$1200),"")</f>
        <v/>
      </c>
      <c r="H236" s="73" t="str">
        <f aca="false">IFERROR(AVERAGEIF('Registro de Fichas'!$D$7:$D$1200,$A236,'Registro de Fichas'!$J$7:$J$1200),"")</f>
        <v/>
      </c>
      <c r="I236" s="56" t="str">
        <f aca="false">IF($C236=0,"",IF($C236&gt;=Parametros!$B$27,"OK","FALTAN "&amp;(Parametros!$B$27-$C236)))</f>
        <v/>
      </c>
      <c r="J236" s="56" t="str">
        <f aca="false">IF($C236=0,"",SUMIF('Registro de Fichas'!$D$7:$D$1200,$A236,'Registro de Fichas'!$M$7:$M$1200))</f>
        <v/>
      </c>
      <c r="K236" s="74" t="n">
        <f aca="false">COUNTIFS('Registro de Fichas'!$D$7:$D$1200,$A236,'Registro de Fichas'!$K$7:$K$1200,"Contenedores")</f>
        <v>0</v>
      </c>
      <c r="L236" s="74" t="n">
        <f aca="false">COUNTIFS('Registro de Fichas'!$D$7:$D$1200,$A236,'Registro de Fichas'!$K$7:$K$1200,"Granel solido")</f>
        <v>0</v>
      </c>
      <c r="M236" s="74" t="n">
        <f aca="false">COUNTIFS('Registro de Fichas'!$D$7:$D$1200,$A236,'Registro de Fichas'!$K$7:$K$1200,"Carga fraccionada")</f>
        <v>0</v>
      </c>
      <c r="N236" s="74" t="n">
        <f aca="false">COUNTIFS('Registro de Fichas'!$D$7:$D$1200,$A236,'Registro de Fichas'!$K$7:$K$1200,"Big bags")</f>
        <v>0</v>
      </c>
      <c r="O236" s="74" t="n">
        <f aca="false">COUNTIFS('Registro de Fichas'!$D$7:$D$1200,$A236,'Registro de Fichas'!$L$7:$L$1200,"Si")</f>
        <v>0</v>
      </c>
      <c r="P236" s="75" t="str">
        <f aca="false">IF($C236=0,"",IF($C236&lt;Parametros!$B$27,"EVIDENCIA INSUFICIENTE",IF(AND($D236&lt;&gt;"",$C236&lt;$D236*Parametros!$B$28),"BAJO % MUESTREO",IF($J236&lt;Parametros!$B$31,"POCOS EVALUADORES","VALIDA"))))</f>
        <v/>
      </c>
    </row>
    <row r="237" customFormat="false" ht="15" hidden="false" customHeight="true" outlineLevel="0" collapsed="false">
      <c r="A237" s="72"/>
      <c r="B237" s="13" t="str">
        <f aca="false">IFERROR(INDEX('Registro de Fichas'!$E$7:$E$1200,MATCH($A237,'Registro de Fichas'!$D$7:$D$1200,0)),"")</f>
        <v/>
      </c>
      <c r="C237" s="26" t="n">
        <f aca="false">COUNTIF('Registro de Fichas'!$D$7:$D$1200,$A237)</f>
        <v>0</v>
      </c>
      <c r="D237" s="72"/>
      <c r="E237" s="73" t="str">
        <f aca="false">IFERROR(AVERAGEIF('Registro de Fichas'!$D$7:$D$1200,$A237,'Registro de Fichas'!$G$7:$G$1200),"")</f>
        <v/>
      </c>
      <c r="F237" s="73" t="str">
        <f aca="false">IFERROR(AVERAGEIF('Registro de Fichas'!$D$7:$D$1200,$A237,'Registro de Fichas'!$H$7:$H$1200),"")</f>
        <v/>
      </c>
      <c r="G237" s="73" t="str">
        <f aca="false">IFERROR(AVERAGEIF('Registro de Fichas'!$D$7:$D$1200,$A237,'Registro de Fichas'!$I$7:$I$1200),"")</f>
        <v/>
      </c>
      <c r="H237" s="73" t="str">
        <f aca="false">IFERROR(AVERAGEIF('Registro de Fichas'!$D$7:$D$1200,$A237,'Registro de Fichas'!$J$7:$J$1200),"")</f>
        <v/>
      </c>
      <c r="I237" s="38" t="str">
        <f aca="false">IF($C237=0,"",IF($C237&gt;=Parametros!$B$27,"OK","FALTAN "&amp;(Parametros!$B$27-$C237)))</f>
        <v/>
      </c>
      <c r="J237" s="38" t="str">
        <f aca="false">IF($C237=0,"",SUMIF('Registro de Fichas'!$D$7:$D$1200,$A237,'Registro de Fichas'!$M$7:$M$1200))</f>
        <v/>
      </c>
      <c r="K237" s="26" t="n">
        <f aca="false">COUNTIFS('Registro de Fichas'!$D$7:$D$1200,$A237,'Registro de Fichas'!$K$7:$K$1200,"Contenedores")</f>
        <v>0</v>
      </c>
      <c r="L237" s="26" t="n">
        <f aca="false">COUNTIFS('Registro de Fichas'!$D$7:$D$1200,$A237,'Registro de Fichas'!$K$7:$K$1200,"Granel solido")</f>
        <v>0</v>
      </c>
      <c r="M237" s="26" t="n">
        <f aca="false">COUNTIFS('Registro de Fichas'!$D$7:$D$1200,$A237,'Registro de Fichas'!$K$7:$K$1200,"Carga fraccionada")</f>
        <v>0</v>
      </c>
      <c r="N237" s="26" t="n">
        <f aca="false">COUNTIFS('Registro de Fichas'!$D$7:$D$1200,$A237,'Registro de Fichas'!$K$7:$K$1200,"Big bags")</f>
        <v>0</v>
      </c>
      <c r="O237" s="26" t="n">
        <f aca="false">COUNTIFS('Registro de Fichas'!$D$7:$D$1200,$A237,'Registro de Fichas'!$L$7:$L$1200,"Si")</f>
        <v>0</v>
      </c>
      <c r="P237" s="23" t="str">
        <f aca="false">IF($C237=0,"",IF($C237&lt;Parametros!$B$27,"EVIDENCIA INSUFICIENTE",IF(AND($D237&lt;&gt;"",$C237&lt;$D237*Parametros!$B$28),"BAJO % MUESTREO",IF($J237&lt;Parametros!$B$31,"POCOS EVALUADORES","VALIDA"))))</f>
        <v/>
      </c>
    </row>
    <row r="238" customFormat="false" ht="15" hidden="false" customHeight="true" outlineLevel="0" collapsed="false">
      <c r="A238" s="72"/>
      <c r="B238" s="16" t="str">
        <f aca="false">IFERROR(INDEX('Registro de Fichas'!$E$7:$E$1200,MATCH($A238,'Registro de Fichas'!$D$7:$D$1200,0)),"")</f>
        <v/>
      </c>
      <c r="C238" s="74" t="n">
        <f aca="false">COUNTIF('Registro de Fichas'!$D$7:$D$1200,$A238)</f>
        <v>0</v>
      </c>
      <c r="D238" s="72"/>
      <c r="E238" s="73" t="str">
        <f aca="false">IFERROR(AVERAGEIF('Registro de Fichas'!$D$7:$D$1200,$A238,'Registro de Fichas'!$G$7:$G$1200),"")</f>
        <v/>
      </c>
      <c r="F238" s="73" t="str">
        <f aca="false">IFERROR(AVERAGEIF('Registro de Fichas'!$D$7:$D$1200,$A238,'Registro de Fichas'!$H$7:$H$1200),"")</f>
        <v/>
      </c>
      <c r="G238" s="73" t="str">
        <f aca="false">IFERROR(AVERAGEIF('Registro de Fichas'!$D$7:$D$1200,$A238,'Registro de Fichas'!$I$7:$I$1200),"")</f>
        <v/>
      </c>
      <c r="H238" s="73" t="str">
        <f aca="false">IFERROR(AVERAGEIF('Registro de Fichas'!$D$7:$D$1200,$A238,'Registro de Fichas'!$J$7:$J$1200),"")</f>
        <v/>
      </c>
      <c r="I238" s="56" t="str">
        <f aca="false">IF($C238=0,"",IF($C238&gt;=Parametros!$B$27,"OK","FALTAN "&amp;(Parametros!$B$27-$C238)))</f>
        <v/>
      </c>
      <c r="J238" s="56" t="str">
        <f aca="false">IF($C238=0,"",SUMIF('Registro de Fichas'!$D$7:$D$1200,$A238,'Registro de Fichas'!$M$7:$M$1200))</f>
        <v/>
      </c>
      <c r="K238" s="74" t="n">
        <f aca="false">COUNTIFS('Registro de Fichas'!$D$7:$D$1200,$A238,'Registro de Fichas'!$K$7:$K$1200,"Contenedores")</f>
        <v>0</v>
      </c>
      <c r="L238" s="74" t="n">
        <f aca="false">COUNTIFS('Registro de Fichas'!$D$7:$D$1200,$A238,'Registro de Fichas'!$K$7:$K$1200,"Granel solido")</f>
        <v>0</v>
      </c>
      <c r="M238" s="74" t="n">
        <f aca="false">COUNTIFS('Registro de Fichas'!$D$7:$D$1200,$A238,'Registro de Fichas'!$K$7:$K$1200,"Carga fraccionada")</f>
        <v>0</v>
      </c>
      <c r="N238" s="74" t="n">
        <f aca="false">COUNTIFS('Registro de Fichas'!$D$7:$D$1200,$A238,'Registro de Fichas'!$K$7:$K$1200,"Big bags")</f>
        <v>0</v>
      </c>
      <c r="O238" s="74" t="n">
        <f aca="false">COUNTIFS('Registro de Fichas'!$D$7:$D$1200,$A238,'Registro de Fichas'!$L$7:$L$1200,"Si")</f>
        <v>0</v>
      </c>
      <c r="P238" s="75" t="str">
        <f aca="false">IF($C238=0,"",IF($C238&lt;Parametros!$B$27,"EVIDENCIA INSUFICIENTE",IF(AND($D238&lt;&gt;"",$C238&lt;$D238*Parametros!$B$28),"BAJO % MUESTREO",IF($J238&lt;Parametros!$B$31,"POCOS EVALUADORES","VALIDA"))))</f>
        <v/>
      </c>
    </row>
    <row r="239" customFormat="false" ht="15" hidden="false" customHeight="true" outlineLevel="0" collapsed="false">
      <c r="A239" s="72"/>
      <c r="B239" s="13" t="str">
        <f aca="false">IFERROR(INDEX('Registro de Fichas'!$E$7:$E$1200,MATCH($A239,'Registro de Fichas'!$D$7:$D$1200,0)),"")</f>
        <v/>
      </c>
      <c r="C239" s="26" t="n">
        <f aca="false">COUNTIF('Registro de Fichas'!$D$7:$D$1200,$A239)</f>
        <v>0</v>
      </c>
      <c r="D239" s="72"/>
      <c r="E239" s="73" t="str">
        <f aca="false">IFERROR(AVERAGEIF('Registro de Fichas'!$D$7:$D$1200,$A239,'Registro de Fichas'!$G$7:$G$1200),"")</f>
        <v/>
      </c>
      <c r="F239" s="73" t="str">
        <f aca="false">IFERROR(AVERAGEIF('Registro de Fichas'!$D$7:$D$1200,$A239,'Registro de Fichas'!$H$7:$H$1200),"")</f>
        <v/>
      </c>
      <c r="G239" s="73" t="str">
        <f aca="false">IFERROR(AVERAGEIF('Registro de Fichas'!$D$7:$D$1200,$A239,'Registro de Fichas'!$I$7:$I$1200),"")</f>
        <v/>
      </c>
      <c r="H239" s="73" t="str">
        <f aca="false">IFERROR(AVERAGEIF('Registro de Fichas'!$D$7:$D$1200,$A239,'Registro de Fichas'!$J$7:$J$1200),"")</f>
        <v/>
      </c>
      <c r="I239" s="38" t="str">
        <f aca="false">IF($C239=0,"",IF($C239&gt;=Parametros!$B$27,"OK","FALTAN "&amp;(Parametros!$B$27-$C239)))</f>
        <v/>
      </c>
      <c r="J239" s="38" t="str">
        <f aca="false">IF($C239=0,"",SUMIF('Registro de Fichas'!$D$7:$D$1200,$A239,'Registro de Fichas'!$M$7:$M$1200))</f>
        <v/>
      </c>
      <c r="K239" s="26" t="n">
        <f aca="false">COUNTIFS('Registro de Fichas'!$D$7:$D$1200,$A239,'Registro de Fichas'!$K$7:$K$1200,"Contenedores")</f>
        <v>0</v>
      </c>
      <c r="L239" s="26" t="n">
        <f aca="false">COUNTIFS('Registro de Fichas'!$D$7:$D$1200,$A239,'Registro de Fichas'!$K$7:$K$1200,"Granel solido")</f>
        <v>0</v>
      </c>
      <c r="M239" s="26" t="n">
        <f aca="false">COUNTIFS('Registro de Fichas'!$D$7:$D$1200,$A239,'Registro de Fichas'!$K$7:$K$1200,"Carga fraccionada")</f>
        <v>0</v>
      </c>
      <c r="N239" s="26" t="n">
        <f aca="false">COUNTIFS('Registro de Fichas'!$D$7:$D$1200,$A239,'Registro de Fichas'!$K$7:$K$1200,"Big bags")</f>
        <v>0</v>
      </c>
      <c r="O239" s="26" t="n">
        <f aca="false">COUNTIFS('Registro de Fichas'!$D$7:$D$1200,$A239,'Registro de Fichas'!$L$7:$L$1200,"Si")</f>
        <v>0</v>
      </c>
      <c r="P239" s="23" t="str">
        <f aca="false">IF($C239=0,"",IF($C239&lt;Parametros!$B$27,"EVIDENCIA INSUFICIENTE",IF(AND($D239&lt;&gt;"",$C239&lt;$D239*Parametros!$B$28),"BAJO % MUESTREO",IF($J239&lt;Parametros!$B$31,"POCOS EVALUADORES","VALIDA"))))</f>
        <v/>
      </c>
    </row>
    <row r="240" customFormat="false" ht="15" hidden="false" customHeight="true" outlineLevel="0" collapsed="false">
      <c r="A240" s="72"/>
      <c r="B240" s="16" t="str">
        <f aca="false">IFERROR(INDEX('Registro de Fichas'!$E$7:$E$1200,MATCH($A240,'Registro de Fichas'!$D$7:$D$1200,0)),"")</f>
        <v/>
      </c>
      <c r="C240" s="74" t="n">
        <f aca="false">COUNTIF('Registro de Fichas'!$D$7:$D$1200,$A240)</f>
        <v>0</v>
      </c>
      <c r="D240" s="72"/>
      <c r="E240" s="73" t="str">
        <f aca="false">IFERROR(AVERAGEIF('Registro de Fichas'!$D$7:$D$1200,$A240,'Registro de Fichas'!$G$7:$G$1200),"")</f>
        <v/>
      </c>
      <c r="F240" s="73" t="str">
        <f aca="false">IFERROR(AVERAGEIF('Registro de Fichas'!$D$7:$D$1200,$A240,'Registro de Fichas'!$H$7:$H$1200),"")</f>
        <v/>
      </c>
      <c r="G240" s="73" t="str">
        <f aca="false">IFERROR(AVERAGEIF('Registro de Fichas'!$D$7:$D$1200,$A240,'Registro de Fichas'!$I$7:$I$1200),"")</f>
        <v/>
      </c>
      <c r="H240" s="73" t="str">
        <f aca="false">IFERROR(AVERAGEIF('Registro de Fichas'!$D$7:$D$1200,$A240,'Registro de Fichas'!$J$7:$J$1200),"")</f>
        <v/>
      </c>
      <c r="I240" s="56" t="str">
        <f aca="false">IF($C240=0,"",IF($C240&gt;=Parametros!$B$27,"OK","FALTAN "&amp;(Parametros!$B$27-$C240)))</f>
        <v/>
      </c>
      <c r="J240" s="56" t="str">
        <f aca="false">IF($C240=0,"",SUMIF('Registro de Fichas'!$D$7:$D$1200,$A240,'Registro de Fichas'!$M$7:$M$1200))</f>
        <v/>
      </c>
      <c r="K240" s="74" t="n">
        <f aca="false">COUNTIFS('Registro de Fichas'!$D$7:$D$1200,$A240,'Registro de Fichas'!$K$7:$K$1200,"Contenedores")</f>
        <v>0</v>
      </c>
      <c r="L240" s="74" t="n">
        <f aca="false">COUNTIFS('Registro de Fichas'!$D$7:$D$1200,$A240,'Registro de Fichas'!$K$7:$K$1200,"Granel solido")</f>
        <v>0</v>
      </c>
      <c r="M240" s="74" t="n">
        <f aca="false">COUNTIFS('Registro de Fichas'!$D$7:$D$1200,$A240,'Registro de Fichas'!$K$7:$K$1200,"Carga fraccionada")</f>
        <v>0</v>
      </c>
      <c r="N240" s="74" t="n">
        <f aca="false">COUNTIFS('Registro de Fichas'!$D$7:$D$1200,$A240,'Registro de Fichas'!$K$7:$K$1200,"Big bags")</f>
        <v>0</v>
      </c>
      <c r="O240" s="74" t="n">
        <f aca="false">COUNTIFS('Registro de Fichas'!$D$7:$D$1200,$A240,'Registro de Fichas'!$L$7:$L$1200,"Si")</f>
        <v>0</v>
      </c>
      <c r="P240" s="75" t="str">
        <f aca="false">IF($C240=0,"",IF($C240&lt;Parametros!$B$27,"EVIDENCIA INSUFICIENTE",IF(AND($D240&lt;&gt;"",$C240&lt;$D240*Parametros!$B$28),"BAJO % MUESTREO",IF($J240&lt;Parametros!$B$31,"POCOS EVALUADORES","VALIDA"))))</f>
        <v/>
      </c>
    </row>
    <row r="241" customFormat="false" ht="15" hidden="false" customHeight="true" outlineLevel="0" collapsed="false">
      <c r="A241" s="72"/>
      <c r="B241" s="13" t="str">
        <f aca="false">IFERROR(INDEX('Registro de Fichas'!$E$7:$E$1200,MATCH($A241,'Registro de Fichas'!$D$7:$D$1200,0)),"")</f>
        <v/>
      </c>
      <c r="C241" s="26" t="n">
        <f aca="false">COUNTIF('Registro de Fichas'!$D$7:$D$1200,$A241)</f>
        <v>0</v>
      </c>
      <c r="D241" s="72"/>
      <c r="E241" s="73" t="str">
        <f aca="false">IFERROR(AVERAGEIF('Registro de Fichas'!$D$7:$D$1200,$A241,'Registro de Fichas'!$G$7:$G$1200),"")</f>
        <v/>
      </c>
      <c r="F241" s="73" t="str">
        <f aca="false">IFERROR(AVERAGEIF('Registro de Fichas'!$D$7:$D$1200,$A241,'Registro de Fichas'!$H$7:$H$1200),"")</f>
        <v/>
      </c>
      <c r="G241" s="73" t="str">
        <f aca="false">IFERROR(AVERAGEIF('Registro de Fichas'!$D$7:$D$1200,$A241,'Registro de Fichas'!$I$7:$I$1200),"")</f>
        <v/>
      </c>
      <c r="H241" s="73" t="str">
        <f aca="false">IFERROR(AVERAGEIF('Registro de Fichas'!$D$7:$D$1200,$A241,'Registro de Fichas'!$J$7:$J$1200),"")</f>
        <v/>
      </c>
      <c r="I241" s="38" t="str">
        <f aca="false">IF($C241=0,"",IF($C241&gt;=Parametros!$B$27,"OK","FALTAN "&amp;(Parametros!$B$27-$C241)))</f>
        <v/>
      </c>
      <c r="J241" s="38" t="str">
        <f aca="false">IF($C241=0,"",SUMIF('Registro de Fichas'!$D$7:$D$1200,$A241,'Registro de Fichas'!$M$7:$M$1200))</f>
        <v/>
      </c>
      <c r="K241" s="26" t="n">
        <f aca="false">COUNTIFS('Registro de Fichas'!$D$7:$D$1200,$A241,'Registro de Fichas'!$K$7:$K$1200,"Contenedores")</f>
        <v>0</v>
      </c>
      <c r="L241" s="26" t="n">
        <f aca="false">COUNTIFS('Registro de Fichas'!$D$7:$D$1200,$A241,'Registro de Fichas'!$K$7:$K$1200,"Granel solido")</f>
        <v>0</v>
      </c>
      <c r="M241" s="26" t="n">
        <f aca="false">COUNTIFS('Registro de Fichas'!$D$7:$D$1200,$A241,'Registro de Fichas'!$K$7:$K$1200,"Carga fraccionada")</f>
        <v>0</v>
      </c>
      <c r="N241" s="26" t="n">
        <f aca="false">COUNTIFS('Registro de Fichas'!$D$7:$D$1200,$A241,'Registro de Fichas'!$K$7:$K$1200,"Big bags")</f>
        <v>0</v>
      </c>
      <c r="O241" s="26" t="n">
        <f aca="false">COUNTIFS('Registro de Fichas'!$D$7:$D$1200,$A241,'Registro de Fichas'!$L$7:$L$1200,"Si")</f>
        <v>0</v>
      </c>
      <c r="P241" s="23" t="str">
        <f aca="false">IF($C241=0,"",IF($C241&lt;Parametros!$B$27,"EVIDENCIA INSUFICIENTE",IF(AND($D241&lt;&gt;"",$C241&lt;$D241*Parametros!$B$28),"BAJO % MUESTREO",IF($J241&lt;Parametros!$B$31,"POCOS EVALUADORES","VALIDA"))))</f>
        <v/>
      </c>
    </row>
    <row r="242" customFormat="false" ht="15" hidden="false" customHeight="true" outlineLevel="0" collapsed="false">
      <c r="A242" s="72"/>
      <c r="B242" s="16" t="str">
        <f aca="false">IFERROR(INDEX('Registro de Fichas'!$E$7:$E$1200,MATCH($A242,'Registro de Fichas'!$D$7:$D$1200,0)),"")</f>
        <v/>
      </c>
      <c r="C242" s="74" t="n">
        <f aca="false">COUNTIF('Registro de Fichas'!$D$7:$D$1200,$A242)</f>
        <v>0</v>
      </c>
      <c r="D242" s="72"/>
      <c r="E242" s="73" t="str">
        <f aca="false">IFERROR(AVERAGEIF('Registro de Fichas'!$D$7:$D$1200,$A242,'Registro de Fichas'!$G$7:$G$1200),"")</f>
        <v/>
      </c>
      <c r="F242" s="73" t="str">
        <f aca="false">IFERROR(AVERAGEIF('Registro de Fichas'!$D$7:$D$1200,$A242,'Registro de Fichas'!$H$7:$H$1200),"")</f>
        <v/>
      </c>
      <c r="G242" s="73" t="str">
        <f aca="false">IFERROR(AVERAGEIF('Registro de Fichas'!$D$7:$D$1200,$A242,'Registro de Fichas'!$I$7:$I$1200),"")</f>
        <v/>
      </c>
      <c r="H242" s="73" t="str">
        <f aca="false">IFERROR(AVERAGEIF('Registro de Fichas'!$D$7:$D$1200,$A242,'Registro de Fichas'!$J$7:$J$1200),"")</f>
        <v/>
      </c>
      <c r="I242" s="56" t="str">
        <f aca="false">IF($C242=0,"",IF($C242&gt;=Parametros!$B$27,"OK","FALTAN "&amp;(Parametros!$B$27-$C242)))</f>
        <v/>
      </c>
      <c r="J242" s="56" t="str">
        <f aca="false">IF($C242=0,"",SUMIF('Registro de Fichas'!$D$7:$D$1200,$A242,'Registro de Fichas'!$M$7:$M$1200))</f>
        <v/>
      </c>
      <c r="K242" s="74" t="n">
        <f aca="false">COUNTIFS('Registro de Fichas'!$D$7:$D$1200,$A242,'Registro de Fichas'!$K$7:$K$1200,"Contenedores")</f>
        <v>0</v>
      </c>
      <c r="L242" s="74" t="n">
        <f aca="false">COUNTIFS('Registro de Fichas'!$D$7:$D$1200,$A242,'Registro de Fichas'!$K$7:$K$1200,"Granel solido")</f>
        <v>0</v>
      </c>
      <c r="M242" s="74" t="n">
        <f aca="false">COUNTIFS('Registro de Fichas'!$D$7:$D$1200,$A242,'Registro de Fichas'!$K$7:$K$1200,"Carga fraccionada")</f>
        <v>0</v>
      </c>
      <c r="N242" s="74" t="n">
        <f aca="false">COUNTIFS('Registro de Fichas'!$D$7:$D$1200,$A242,'Registro de Fichas'!$K$7:$K$1200,"Big bags")</f>
        <v>0</v>
      </c>
      <c r="O242" s="74" t="n">
        <f aca="false">COUNTIFS('Registro de Fichas'!$D$7:$D$1200,$A242,'Registro de Fichas'!$L$7:$L$1200,"Si")</f>
        <v>0</v>
      </c>
      <c r="P242" s="75" t="str">
        <f aca="false">IF($C242=0,"",IF($C242&lt;Parametros!$B$27,"EVIDENCIA INSUFICIENTE",IF(AND($D242&lt;&gt;"",$C242&lt;$D242*Parametros!$B$28),"BAJO % MUESTREO",IF($J242&lt;Parametros!$B$31,"POCOS EVALUADORES","VALIDA"))))</f>
        <v/>
      </c>
    </row>
    <row r="243" customFormat="false" ht="15" hidden="false" customHeight="true" outlineLevel="0" collapsed="false">
      <c r="A243" s="72"/>
      <c r="B243" s="13" t="str">
        <f aca="false">IFERROR(INDEX('Registro de Fichas'!$E$7:$E$1200,MATCH($A243,'Registro de Fichas'!$D$7:$D$1200,0)),"")</f>
        <v/>
      </c>
      <c r="C243" s="26" t="n">
        <f aca="false">COUNTIF('Registro de Fichas'!$D$7:$D$1200,$A243)</f>
        <v>0</v>
      </c>
      <c r="D243" s="72"/>
      <c r="E243" s="73" t="str">
        <f aca="false">IFERROR(AVERAGEIF('Registro de Fichas'!$D$7:$D$1200,$A243,'Registro de Fichas'!$G$7:$G$1200),"")</f>
        <v/>
      </c>
      <c r="F243" s="73" t="str">
        <f aca="false">IFERROR(AVERAGEIF('Registro de Fichas'!$D$7:$D$1200,$A243,'Registro de Fichas'!$H$7:$H$1200),"")</f>
        <v/>
      </c>
      <c r="G243" s="73" t="str">
        <f aca="false">IFERROR(AVERAGEIF('Registro de Fichas'!$D$7:$D$1200,$A243,'Registro de Fichas'!$I$7:$I$1200),"")</f>
        <v/>
      </c>
      <c r="H243" s="73" t="str">
        <f aca="false">IFERROR(AVERAGEIF('Registro de Fichas'!$D$7:$D$1200,$A243,'Registro de Fichas'!$J$7:$J$1200),"")</f>
        <v/>
      </c>
      <c r="I243" s="38" t="str">
        <f aca="false">IF($C243=0,"",IF($C243&gt;=Parametros!$B$27,"OK","FALTAN "&amp;(Parametros!$B$27-$C243)))</f>
        <v/>
      </c>
      <c r="J243" s="38" t="str">
        <f aca="false">IF($C243=0,"",SUMIF('Registro de Fichas'!$D$7:$D$1200,$A243,'Registro de Fichas'!$M$7:$M$1200))</f>
        <v/>
      </c>
      <c r="K243" s="26" t="n">
        <f aca="false">COUNTIFS('Registro de Fichas'!$D$7:$D$1200,$A243,'Registro de Fichas'!$K$7:$K$1200,"Contenedores")</f>
        <v>0</v>
      </c>
      <c r="L243" s="26" t="n">
        <f aca="false">COUNTIFS('Registro de Fichas'!$D$7:$D$1200,$A243,'Registro de Fichas'!$K$7:$K$1200,"Granel solido")</f>
        <v>0</v>
      </c>
      <c r="M243" s="26" t="n">
        <f aca="false">COUNTIFS('Registro de Fichas'!$D$7:$D$1200,$A243,'Registro de Fichas'!$K$7:$K$1200,"Carga fraccionada")</f>
        <v>0</v>
      </c>
      <c r="N243" s="26" t="n">
        <f aca="false">COUNTIFS('Registro de Fichas'!$D$7:$D$1200,$A243,'Registro de Fichas'!$K$7:$K$1200,"Big bags")</f>
        <v>0</v>
      </c>
      <c r="O243" s="26" t="n">
        <f aca="false">COUNTIFS('Registro de Fichas'!$D$7:$D$1200,$A243,'Registro de Fichas'!$L$7:$L$1200,"Si")</f>
        <v>0</v>
      </c>
      <c r="P243" s="23" t="str">
        <f aca="false">IF($C243=0,"",IF($C243&lt;Parametros!$B$27,"EVIDENCIA INSUFICIENTE",IF(AND($D243&lt;&gt;"",$C243&lt;$D243*Parametros!$B$28),"BAJO % MUESTREO",IF($J243&lt;Parametros!$B$31,"POCOS EVALUADORES","VALIDA"))))</f>
        <v/>
      </c>
    </row>
    <row r="244" customFormat="false" ht="15" hidden="false" customHeight="true" outlineLevel="0" collapsed="false">
      <c r="A244" s="72"/>
      <c r="B244" s="16" t="str">
        <f aca="false">IFERROR(INDEX('Registro de Fichas'!$E$7:$E$1200,MATCH($A244,'Registro de Fichas'!$D$7:$D$1200,0)),"")</f>
        <v/>
      </c>
      <c r="C244" s="74" t="n">
        <f aca="false">COUNTIF('Registro de Fichas'!$D$7:$D$1200,$A244)</f>
        <v>0</v>
      </c>
      <c r="D244" s="72"/>
      <c r="E244" s="73" t="str">
        <f aca="false">IFERROR(AVERAGEIF('Registro de Fichas'!$D$7:$D$1200,$A244,'Registro de Fichas'!$G$7:$G$1200),"")</f>
        <v/>
      </c>
      <c r="F244" s="73" t="str">
        <f aca="false">IFERROR(AVERAGEIF('Registro de Fichas'!$D$7:$D$1200,$A244,'Registro de Fichas'!$H$7:$H$1200),"")</f>
        <v/>
      </c>
      <c r="G244" s="73" t="str">
        <f aca="false">IFERROR(AVERAGEIF('Registro de Fichas'!$D$7:$D$1200,$A244,'Registro de Fichas'!$I$7:$I$1200),"")</f>
        <v/>
      </c>
      <c r="H244" s="73" t="str">
        <f aca="false">IFERROR(AVERAGEIF('Registro de Fichas'!$D$7:$D$1200,$A244,'Registro de Fichas'!$J$7:$J$1200),"")</f>
        <v/>
      </c>
      <c r="I244" s="56" t="str">
        <f aca="false">IF($C244=0,"",IF($C244&gt;=Parametros!$B$27,"OK","FALTAN "&amp;(Parametros!$B$27-$C244)))</f>
        <v/>
      </c>
      <c r="J244" s="56" t="str">
        <f aca="false">IF($C244=0,"",SUMIF('Registro de Fichas'!$D$7:$D$1200,$A244,'Registro de Fichas'!$M$7:$M$1200))</f>
        <v/>
      </c>
      <c r="K244" s="74" t="n">
        <f aca="false">COUNTIFS('Registro de Fichas'!$D$7:$D$1200,$A244,'Registro de Fichas'!$K$7:$K$1200,"Contenedores")</f>
        <v>0</v>
      </c>
      <c r="L244" s="74" t="n">
        <f aca="false">COUNTIFS('Registro de Fichas'!$D$7:$D$1200,$A244,'Registro de Fichas'!$K$7:$K$1200,"Granel solido")</f>
        <v>0</v>
      </c>
      <c r="M244" s="74" t="n">
        <f aca="false">COUNTIFS('Registro de Fichas'!$D$7:$D$1200,$A244,'Registro de Fichas'!$K$7:$K$1200,"Carga fraccionada")</f>
        <v>0</v>
      </c>
      <c r="N244" s="74" t="n">
        <f aca="false">COUNTIFS('Registro de Fichas'!$D$7:$D$1200,$A244,'Registro de Fichas'!$K$7:$K$1200,"Big bags")</f>
        <v>0</v>
      </c>
      <c r="O244" s="74" t="n">
        <f aca="false">COUNTIFS('Registro de Fichas'!$D$7:$D$1200,$A244,'Registro de Fichas'!$L$7:$L$1200,"Si")</f>
        <v>0</v>
      </c>
      <c r="P244" s="75" t="str">
        <f aca="false">IF($C244=0,"",IF($C244&lt;Parametros!$B$27,"EVIDENCIA INSUFICIENTE",IF(AND($D244&lt;&gt;"",$C244&lt;$D244*Parametros!$B$28),"BAJO % MUESTREO",IF($J244&lt;Parametros!$B$31,"POCOS EVALUADORES","VALIDA"))))</f>
        <v/>
      </c>
    </row>
    <row r="245" customFormat="false" ht="15" hidden="false" customHeight="true" outlineLevel="0" collapsed="false">
      <c r="A245" s="72"/>
      <c r="B245" s="13" t="str">
        <f aca="false">IFERROR(INDEX('Registro de Fichas'!$E$7:$E$1200,MATCH($A245,'Registro de Fichas'!$D$7:$D$1200,0)),"")</f>
        <v/>
      </c>
      <c r="C245" s="26" t="n">
        <f aca="false">COUNTIF('Registro de Fichas'!$D$7:$D$1200,$A245)</f>
        <v>0</v>
      </c>
      <c r="D245" s="72"/>
      <c r="E245" s="73" t="str">
        <f aca="false">IFERROR(AVERAGEIF('Registro de Fichas'!$D$7:$D$1200,$A245,'Registro de Fichas'!$G$7:$G$1200),"")</f>
        <v/>
      </c>
      <c r="F245" s="73" t="str">
        <f aca="false">IFERROR(AVERAGEIF('Registro de Fichas'!$D$7:$D$1200,$A245,'Registro de Fichas'!$H$7:$H$1200),"")</f>
        <v/>
      </c>
      <c r="G245" s="73" t="str">
        <f aca="false">IFERROR(AVERAGEIF('Registro de Fichas'!$D$7:$D$1200,$A245,'Registro de Fichas'!$I$7:$I$1200),"")</f>
        <v/>
      </c>
      <c r="H245" s="73" t="str">
        <f aca="false">IFERROR(AVERAGEIF('Registro de Fichas'!$D$7:$D$1200,$A245,'Registro de Fichas'!$J$7:$J$1200),"")</f>
        <v/>
      </c>
      <c r="I245" s="38" t="str">
        <f aca="false">IF($C245=0,"",IF($C245&gt;=Parametros!$B$27,"OK","FALTAN "&amp;(Parametros!$B$27-$C245)))</f>
        <v/>
      </c>
      <c r="J245" s="38" t="str">
        <f aca="false">IF($C245=0,"",SUMIF('Registro de Fichas'!$D$7:$D$1200,$A245,'Registro de Fichas'!$M$7:$M$1200))</f>
        <v/>
      </c>
      <c r="K245" s="26" t="n">
        <f aca="false">COUNTIFS('Registro de Fichas'!$D$7:$D$1200,$A245,'Registro de Fichas'!$K$7:$K$1200,"Contenedores")</f>
        <v>0</v>
      </c>
      <c r="L245" s="26" t="n">
        <f aca="false">COUNTIFS('Registro de Fichas'!$D$7:$D$1200,$A245,'Registro de Fichas'!$K$7:$K$1200,"Granel solido")</f>
        <v>0</v>
      </c>
      <c r="M245" s="26" t="n">
        <f aca="false">COUNTIFS('Registro de Fichas'!$D$7:$D$1200,$A245,'Registro de Fichas'!$K$7:$K$1200,"Carga fraccionada")</f>
        <v>0</v>
      </c>
      <c r="N245" s="26" t="n">
        <f aca="false">COUNTIFS('Registro de Fichas'!$D$7:$D$1200,$A245,'Registro de Fichas'!$K$7:$K$1200,"Big bags")</f>
        <v>0</v>
      </c>
      <c r="O245" s="26" t="n">
        <f aca="false">COUNTIFS('Registro de Fichas'!$D$7:$D$1200,$A245,'Registro de Fichas'!$L$7:$L$1200,"Si")</f>
        <v>0</v>
      </c>
      <c r="P245" s="23" t="str">
        <f aca="false">IF($C245=0,"",IF($C245&lt;Parametros!$B$27,"EVIDENCIA INSUFICIENTE",IF(AND($D245&lt;&gt;"",$C245&lt;$D245*Parametros!$B$28),"BAJO % MUESTREO",IF($J245&lt;Parametros!$B$31,"POCOS EVALUADORES","VALIDA"))))</f>
        <v/>
      </c>
    </row>
    <row r="246" customFormat="false" ht="15" hidden="false" customHeight="true" outlineLevel="0" collapsed="false">
      <c r="A246" s="72"/>
      <c r="B246" s="16" t="str">
        <f aca="false">IFERROR(INDEX('Registro de Fichas'!$E$7:$E$1200,MATCH($A246,'Registro de Fichas'!$D$7:$D$1200,0)),"")</f>
        <v/>
      </c>
      <c r="C246" s="74" t="n">
        <f aca="false">COUNTIF('Registro de Fichas'!$D$7:$D$1200,$A246)</f>
        <v>0</v>
      </c>
      <c r="D246" s="72"/>
      <c r="E246" s="73" t="str">
        <f aca="false">IFERROR(AVERAGEIF('Registro de Fichas'!$D$7:$D$1200,$A246,'Registro de Fichas'!$G$7:$G$1200),"")</f>
        <v/>
      </c>
      <c r="F246" s="73" t="str">
        <f aca="false">IFERROR(AVERAGEIF('Registro de Fichas'!$D$7:$D$1200,$A246,'Registro de Fichas'!$H$7:$H$1200),"")</f>
        <v/>
      </c>
      <c r="G246" s="73" t="str">
        <f aca="false">IFERROR(AVERAGEIF('Registro de Fichas'!$D$7:$D$1200,$A246,'Registro de Fichas'!$I$7:$I$1200),"")</f>
        <v/>
      </c>
      <c r="H246" s="73" t="str">
        <f aca="false">IFERROR(AVERAGEIF('Registro de Fichas'!$D$7:$D$1200,$A246,'Registro de Fichas'!$J$7:$J$1200),"")</f>
        <v/>
      </c>
      <c r="I246" s="56" t="str">
        <f aca="false">IF($C246=0,"",IF($C246&gt;=Parametros!$B$27,"OK","FALTAN "&amp;(Parametros!$B$27-$C246)))</f>
        <v/>
      </c>
      <c r="J246" s="56" t="str">
        <f aca="false">IF($C246=0,"",SUMIF('Registro de Fichas'!$D$7:$D$1200,$A246,'Registro de Fichas'!$M$7:$M$1200))</f>
        <v/>
      </c>
      <c r="K246" s="74" t="n">
        <f aca="false">COUNTIFS('Registro de Fichas'!$D$7:$D$1200,$A246,'Registro de Fichas'!$K$7:$K$1200,"Contenedores")</f>
        <v>0</v>
      </c>
      <c r="L246" s="74" t="n">
        <f aca="false">COUNTIFS('Registro de Fichas'!$D$7:$D$1200,$A246,'Registro de Fichas'!$K$7:$K$1200,"Granel solido")</f>
        <v>0</v>
      </c>
      <c r="M246" s="74" t="n">
        <f aca="false">COUNTIFS('Registro de Fichas'!$D$7:$D$1200,$A246,'Registro de Fichas'!$K$7:$K$1200,"Carga fraccionada")</f>
        <v>0</v>
      </c>
      <c r="N246" s="74" t="n">
        <f aca="false">COUNTIFS('Registro de Fichas'!$D$7:$D$1200,$A246,'Registro de Fichas'!$K$7:$K$1200,"Big bags")</f>
        <v>0</v>
      </c>
      <c r="O246" s="74" t="n">
        <f aca="false">COUNTIFS('Registro de Fichas'!$D$7:$D$1200,$A246,'Registro de Fichas'!$L$7:$L$1200,"Si")</f>
        <v>0</v>
      </c>
      <c r="P246" s="75" t="str">
        <f aca="false">IF($C246=0,"",IF($C246&lt;Parametros!$B$27,"EVIDENCIA INSUFICIENTE",IF(AND($D246&lt;&gt;"",$C246&lt;$D246*Parametros!$B$28),"BAJO % MUESTREO",IF($J246&lt;Parametros!$B$31,"POCOS EVALUADORES","VALIDA"))))</f>
        <v/>
      </c>
    </row>
    <row r="247" customFormat="false" ht="15" hidden="false" customHeight="true" outlineLevel="0" collapsed="false">
      <c r="A247" s="72"/>
      <c r="B247" s="13" t="str">
        <f aca="false">IFERROR(INDEX('Registro de Fichas'!$E$7:$E$1200,MATCH($A247,'Registro de Fichas'!$D$7:$D$1200,0)),"")</f>
        <v/>
      </c>
      <c r="C247" s="26" t="n">
        <f aca="false">COUNTIF('Registro de Fichas'!$D$7:$D$1200,$A247)</f>
        <v>0</v>
      </c>
      <c r="D247" s="72"/>
      <c r="E247" s="73" t="str">
        <f aca="false">IFERROR(AVERAGEIF('Registro de Fichas'!$D$7:$D$1200,$A247,'Registro de Fichas'!$G$7:$G$1200),"")</f>
        <v/>
      </c>
      <c r="F247" s="73" t="str">
        <f aca="false">IFERROR(AVERAGEIF('Registro de Fichas'!$D$7:$D$1200,$A247,'Registro de Fichas'!$H$7:$H$1200),"")</f>
        <v/>
      </c>
      <c r="G247" s="73" t="str">
        <f aca="false">IFERROR(AVERAGEIF('Registro de Fichas'!$D$7:$D$1200,$A247,'Registro de Fichas'!$I$7:$I$1200),"")</f>
        <v/>
      </c>
      <c r="H247" s="73" t="str">
        <f aca="false">IFERROR(AVERAGEIF('Registro de Fichas'!$D$7:$D$1200,$A247,'Registro de Fichas'!$J$7:$J$1200),"")</f>
        <v/>
      </c>
      <c r="I247" s="38" t="str">
        <f aca="false">IF($C247=0,"",IF($C247&gt;=Parametros!$B$27,"OK","FALTAN "&amp;(Parametros!$B$27-$C247)))</f>
        <v/>
      </c>
      <c r="J247" s="38" t="str">
        <f aca="false">IF($C247=0,"",SUMIF('Registro de Fichas'!$D$7:$D$1200,$A247,'Registro de Fichas'!$M$7:$M$1200))</f>
        <v/>
      </c>
      <c r="K247" s="26" t="n">
        <f aca="false">COUNTIFS('Registro de Fichas'!$D$7:$D$1200,$A247,'Registro de Fichas'!$K$7:$K$1200,"Contenedores")</f>
        <v>0</v>
      </c>
      <c r="L247" s="26" t="n">
        <f aca="false">COUNTIFS('Registro de Fichas'!$D$7:$D$1200,$A247,'Registro de Fichas'!$K$7:$K$1200,"Granel solido")</f>
        <v>0</v>
      </c>
      <c r="M247" s="26" t="n">
        <f aca="false">COUNTIFS('Registro de Fichas'!$D$7:$D$1200,$A247,'Registro de Fichas'!$K$7:$K$1200,"Carga fraccionada")</f>
        <v>0</v>
      </c>
      <c r="N247" s="26" t="n">
        <f aca="false">COUNTIFS('Registro de Fichas'!$D$7:$D$1200,$A247,'Registro de Fichas'!$K$7:$K$1200,"Big bags")</f>
        <v>0</v>
      </c>
      <c r="O247" s="26" t="n">
        <f aca="false">COUNTIFS('Registro de Fichas'!$D$7:$D$1200,$A247,'Registro de Fichas'!$L$7:$L$1200,"Si")</f>
        <v>0</v>
      </c>
      <c r="P247" s="23" t="str">
        <f aca="false">IF($C247=0,"",IF($C247&lt;Parametros!$B$27,"EVIDENCIA INSUFICIENTE",IF(AND($D247&lt;&gt;"",$C247&lt;$D247*Parametros!$B$28),"BAJO % MUESTREO",IF($J247&lt;Parametros!$B$31,"POCOS EVALUADORES","VALIDA"))))</f>
        <v/>
      </c>
    </row>
    <row r="248" customFormat="false" ht="15" hidden="false" customHeight="true" outlineLevel="0" collapsed="false">
      <c r="A248" s="72"/>
      <c r="B248" s="16" t="str">
        <f aca="false">IFERROR(INDEX('Registro de Fichas'!$E$7:$E$1200,MATCH($A248,'Registro de Fichas'!$D$7:$D$1200,0)),"")</f>
        <v/>
      </c>
      <c r="C248" s="74" t="n">
        <f aca="false">COUNTIF('Registro de Fichas'!$D$7:$D$1200,$A248)</f>
        <v>0</v>
      </c>
      <c r="D248" s="72"/>
      <c r="E248" s="73" t="str">
        <f aca="false">IFERROR(AVERAGEIF('Registro de Fichas'!$D$7:$D$1200,$A248,'Registro de Fichas'!$G$7:$G$1200),"")</f>
        <v/>
      </c>
      <c r="F248" s="73" t="str">
        <f aca="false">IFERROR(AVERAGEIF('Registro de Fichas'!$D$7:$D$1200,$A248,'Registro de Fichas'!$H$7:$H$1200),"")</f>
        <v/>
      </c>
      <c r="G248" s="73" t="str">
        <f aca="false">IFERROR(AVERAGEIF('Registro de Fichas'!$D$7:$D$1200,$A248,'Registro de Fichas'!$I$7:$I$1200),"")</f>
        <v/>
      </c>
      <c r="H248" s="73" t="str">
        <f aca="false">IFERROR(AVERAGEIF('Registro de Fichas'!$D$7:$D$1200,$A248,'Registro de Fichas'!$J$7:$J$1200),"")</f>
        <v/>
      </c>
      <c r="I248" s="56" t="str">
        <f aca="false">IF($C248=0,"",IF($C248&gt;=Parametros!$B$27,"OK","FALTAN "&amp;(Parametros!$B$27-$C248)))</f>
        <v/>
      </c>
      <c r="J248" s="56" t="str">
        <f aca="false">IF($C248=0,"",SUMIF('Registro de Fichas'!$D$7:$D$1200,$A248,'Registro de Fichas'!$M$7:$M$1200))</f>
        <v/>
      </c>
      <c r="K248" s="74" t="n">
        <f aca="false">COUNTIFS('Registro de Fichas'!$D$7:$D$1200,$A248,'Registro de Fichas'!$K$7:$K$1200,"Contenedores")</f>
        <v>0</v>
      </c>
      <c r="L248" s="74" t="n">
        <f aca="false">COUNTIFS('Registro de Fichas'!$D$7:$D$1200,$A248,'Registro de Fichas'!$K$7:$K$1200,"Granel solido")</f>
        <v>0</v>
      </c>
      <c r="M248" s="74" t="n">
        <f aca="false">COUNTIFS('Registro de Fichas'!$D$7:$D$1200,$A248,'Registro de Fichas'!$K$7:$K$1200,"Carga fraccionada")</f>
        <v>0</v>
      </c>
      <c r="N248" s="74" t="n">
        <f aca="false">COUNTIFS('Registro de Fichas'!$D$7:$D$1200,$A248,'Registro de Fichas'!$K$7:$K$1200,"Big bags")</f>
        <v>0</v>
      </c>
      <c r="O248" s="74" t="n">
        <f aca="false">COUNTIFS('Registro de Fichas'!$D$7:$D$1200,$A248,'Registro de Fichas'!$L$7:$L$1200,"Si")</f>
        <v>0</v>
      </c>
      <c r="P248" s="75" t="str">
        <f aca="false">IF($C248=0,"",IF($C248&lt;Parametros!$B$27,"EVIDENCIA INSUFICIENTE",IF(AND($D248&lt;&gt;"",$C248&lt;$D248*Parametros!$B$28),"BAJO % MUESTREO",IF($J248&lt;Parametros!$B$31,"POCOS EVALUADORES","VALIDA"))))</f>
        <v/>
      </c>
    </row>
    <row r="249" customFormat="false" ht="15" hidden="false" customHeight="true" outlineLevel="0" collapsed="false">
      <c r="A249" s="72"/>
      <c r="B249" s="13" t="str">
        <f aca="false">IFERROR(INDEX('Registro de Fichas'!$E$7:$E$1200,MATCH($A249,'Registro de Fichas'!$D$7:$D$1200,0)),"")</f>
        <v/>
      </c>
      <c r="C249" s="26" t="n">
        <f aca="false">COUNTIF('Registro de Fichas'!$D$7:$D$1200,$A249)</f>
        <v>0</v>
      </c>
      <c r="D249" s="72"/>
      <c r="E249" s="73" t="str">
        <f aca="false">IFERROR(AVERAGEIF('Registro de Fichas'!$D$7:$D$1200,$A249,'Registro de Fichas'!$G$7:$G$1200),"")</f>
        <v/>
      </c>
      <c r="F249" s="73" t="str">
        <f aca="false">IFERROR(AVERAGEIF('Registro de Fichas'!$D$7:$D$1200,$A249,'Registro de Fichas'!$H$7:$H$1200),"")</f>
        <v/>
      </c>
      <c r="G249" s="73" t="str">
        <f aca="false">IFERROR(AVERAGEIF('Registro de Fichas'!$D$7:$D$1200,$A249,'Registro de Fichas'!$I$7:$I$1200),"")</f>
        <v/>
      </c>
      <c r="H249" s="73" t="str">
        <f aca="false">IFERROR(AVERAGEIF('Registro de Fichas'!$D$7:$D$1200,$A249,'Registro de Fichas'!$J$7:$J$1200),"")</f>
        <v/>
      </c>
      <c r="I249" s="38" t="str">
        <f aca="false">IF($C249=0,"",IF($C249&gt;=Parametros!$B$27,"OK","FALTAN "&amp;(Parametros!$B$27-$C249)))</f>
        <v/>
      </c>
      <c r="J249" s="38" t="str">
        <f aca="false">IF($C249=0,"",SUMIF('Registro de Fichas'!$D$7:$D$1200,$A249,'Registro de Fichas'!$M$7:$M$1200))</f>
        <v/>
      </c>
      <c r="K249" s="26" t="n">
        <f aca="false">COUNTIFS('Registro de Fichas'!$D$7:$D$1200,$A249,'Registro de Fichas'!$K$7:$K$1200,"Contenedores")</f>
        <v>0</v>
      </c>
      <c r="L249" s="26" t="n">
        <f aca="false">COUNTIFS('Registro de Fichas'!$D$7:$D$1200,$A249,'Registro de Fichas'!$K$7:$K$1200,"Granel solido")</f>
        <v>0</v>
      </c>
      <c r="M249" s="26" t="n">
        <f aca="false">COUNTIFS('Registro de Fichas'!$D$7:$D$1200,$A249,'Registro de Fichas'!$K$7:$K$1200,"Carga fraccionada")</f>
        <v>0</v>
      </c>
      <c r="N249" s="26" t="n">
        <f aca="false">COUNTIFS('Registro de Fichas'!$D$7:$D$1200,$A249,'Registro de Fichas'!$K$7:$K$1200,"Big bags")</f>
        <v>0</v>
      </c>
      <c r="O249" s="26" t="n">
        <f aca="false">COUNTIFS('Registro de Fichas'!$D$7:$D$1200,$A249,'Registro de Fichas'!$L$7:$L$1200,"Si")</f>
        <v>0</v>
      </c>
      <c r="P249" s="23" t="str">
        <f aca="false">IF($C249=0,"",IF($C249&lt;Parametros!$B$27,"EVIDENCIA INSUFICIENTE",IF(AND($D249&lt;&gt;"",$C249&lt;$D249*Parametros!$B$28),"BAJO % MUESTREO",IF($J249&lt;Parametros!$B$31,"POCOS EVALUADORES","VALIDA"))))</f>
        <v/>
      </c>
    </row>
    <row r="250" customFormat="false" ht="15" hidden="false" customHeight="true" outlineLevel="0" collapsed="false">
      <c r="A250" s="72"/>
      <c r="B250" s="16" t="str">
        <f aca="false">IFERROR(INDEX('Registro de Fichas'!$E$7:$E$1200,MATCH($A250,'Registro de Fichas'!$D$7:$D$1200,0)),"")</f>
        <v/>
      </c>
      <c r="C250" s="74" t="n">
        <f aca="false">COUNTIF('Registro de Fichas'!$D$7:$D$1200,$A250)</f>
        <v>0</v>
      </c>
      <c r="D250" s="72"/>
      <c r="E250" s="73" t="str">
        <f aca="false">IFERROR(AVERAGEIF('Registro de Fichas'!$D$7:$D$1200,$A250,'Registro de Fichas'!$G$7:$G$1200),"")</f>
        <v/>
      </c>
      <c r="F250" s="73" t="str">
        <f aca="false">IFERROR(AVERAGEIF('Registro de Fichas'!$D$7:$D$1200,$A250,'Registro de Fichas'!$H$7:$H$1200),"")</f>
        <v/>
      </c>
      <c r="G250" s="73" t="str">
        <f aca="false">IFERROR(AVERAGEIF('Registro de Fichas'!$D$7:$D$1200,$A250,'Registro de Fichas'!$I$7:$I$1200),"")</f>
        <v/>
      </c>
      <c r="H250" s="73" t="str">
        <f aca="false">IFERROR(AVERAGEIF('Registro de Fichas'!$D$7:$D$1200,$A250,'Registro de Fichas'!$J$7:$J$1200),"")</f>
        <v/>
      </c>
      <c r="I250" s="56" t="str">
        <f aca="false">IF($C250=0,"",IF($C250&gt;=Parametros!$B$27,"OK","FALTAN "&amp;(Parametros!$B$27-$C250)))</f>
        <v/>
      </c>
      <c r="J250" s="56" t="str">
        <f aca="false">IF($C250=0,"",SUMIF('Registro de Fichas'!$D$7:$D$1200,$A250,'Registro de Fichas'!$M$7:$M$1200))</f>
        <v/>
      </c>
      <c r="K250" s="74" t="n">
        <f aca="false">COUNTIFS('Registro de Fichas'!$D$7:$D$1200,$A250,'Registro de Fichas'!$K$7:$K$1200,"Contenedores")</f>
        <v>0</v>
      </c>
      <c r="L250" s="74" t="n">
        <f aca="false">COUNTIFS('Registro de Fichas'!$D$7:$D$1200,$A250,'Registro de Fichas'!$K$7:$K$1200,"Granel solido")</f>
        <v>0</v>
      </c>
      <c r="M250" s="74" t="n">
        <f aca="false">COUNTIFS('Registro de Fichas'!$D$7:$D$1200,$A250,'Registro de Fichas'!$K$7:$K$1200,"Carga fraccionada")</f>
        <v>0</v>
      </c>
      <c r="N250" s="74" t="n">
        <f aca="false">COUNTIFS('Registro de Fichas'!$D$7:$D$1200,$A250,'Registro de Fichas'!$K$7:$K$1200,"Big bags")</f>
        <v>0</v>
      </c>
      <c r="O250" s="74" t="n">
        <f aca="false">COUNTIFS('Registro de Fichas'!$D$7:$D$1200,$A250,'Registro de Fichas'!$L$7:$L$1200,"Si")</f>
        <v>0</v>
      </c>
      <c r="P250" s="75" t="str">
        <f aca="false">IF($C250=0,"",IF($C250&lt;Parametros!$B$27,"EVIDENCIA INSUFICIENTE",IF(AND($D250&lt;&gt;"",$C250&lt;$D250*Parametros!$B$28),"BAJO % MUESTREO",IF($J250&lt;Parametros!$B$31,"POCOS EVALUADORES","VALIDA"))))</f>
        <v/>
      </c>
    </row>
    <row r="251" customFormat="false" ht="15" hidden="false" customHeight="true" outlineLevel="0" collapsed="false">
      <c r="A251" s="72"/>
      <c r="B251" s="13" t="str">
        <f aca="false">IFERROR(INDEX('Registro de Fichas'!$E$7:$E$1200,MATCH($A251,'Registro de Fichas'!$D$7:$D$1200,0)),"")</f>
        <v/>
      </c>
      <c r="C251" s="26" t="n">
        <f aca="false">COUNTIF('Registro de Fichas'!$D$7:$D$1200,$A251)</f>
        <v>0</v>
      </c>
      <c r="D251" s="72"/>
      <c r="E251" s="73" t="str">
        <f aca="false">IFERROR(AVERAGEIF('Registro de Fichas'!$D$7:$D$1200,$A251,'Registro de Fichas'!$G$7:$G$1200),"")</f>
        <v/>
      </c>
      <c r="F251" s="73" t="str">
        <f aca="false">IFERROR(AVERAGEIF('Registro de Fichas'!$D$7:$D$1200,$A251,'Registro de Fichas'!$H$7:$H$1200),"")</f>
        <v/>
      </c>
      <c r="G251" s="73" t="str">
        <f aca="false">IFERROR(AVERAGEIF('Registro de Fichas'!$D$7:$D$1200,$A251,'Registro de Fichas'!$I$7:$I$1200),"")</f>
        <v/>
      </c>
      <c r="H251" s="73" t="str">
        <f aca="false">IFERROR(AVERAGEIF('Registro de Fichas'!$D$7:$D$1200,$A251,'Registro de Fichas'!$J$7:$J$1200),"")</f>
        <v/>
      </c>
      <c r="I251" s="38" t="str">
        <f aca="false">IF($C251=0,"",IF($C251&gt;=Parametros!$B$27,"OK","FALTAN "&amp;(Parametros!$B$27-$C251)))</f>
        <v/>
      </c>
      <c r="J251" s="38" t="str">
        <f aca="false">IF($C251=0,"",SUMIF('Registro de Fichas'!$D$7:$D$1200,$A251,'Registro de Fichas'!$M$7:$M$1200))</f>
        <v/>
      </c>
      <c r="K251" s="26" t="n">
        <f aca="false">COUNTIFS('Registro de Fichas'!$D$7:$D$1200,$A251,'Registro de Fichas'!$K$7:$K$1200,"Contenedores")</f>
        <v>0</v>
      </c>
      <c r="L251" s="26" t="n">
        <f aca="false">COUNTIFS('Registro de Fichas'!$D$7:$D$1200,$A251,'Registro de Fichas'!$K$7:$K$1200,"Granel solido")</f>
        <v>0</v>
      </c>
      <c r="M251" s="26" t="n">
        <f aca="false">COUNTIFS('Registro de Fichas'!$D$7:$D$1200,$A251,'Registro de Fichas'!$K$7:$K$1200,"Carga fraccionada")</f>
        <v>0</v>
      </c>
      <c r="N251" s="26" t="n">
        <f aca="false">COUNTIFS('Registro de Fichas'!$D$7:$D$1200,$A251,'Registro de Fichas'!$K$7:$K$1200,"Big bags")</f>
        <v>0</v>
      </c>
      <c r="O251" s="26" t="n">
        <f aca="false">COUNTIFS('Registro de Fichas'!$D$7:$D$1200,$A251,'Registro de Fichas'!$L$7:$L$1200,"Si")</f>
        <v>0</v>
      </c>
      <c r="P251" s="23" t="str">
        <f aca="false">IF($C251=0,"",IF($C251&lt;Parametros!$B$27,"EVIDENCIA INSUFICIENTE",IF(AND($D251&lt;&gt;"",$C251&lt;$D251*Parametros!$B$28),"BAJO % MUESTREO",IF($J251&lt;Parametros!$B$31,"POCOS EVALUADORES","VALIDA"))))</f>
        <v/>
      </c>
    </row>
    <row r="252" customFormat="false" ht="15" hidden="false" customHeight="true" outlineLevel="0" collapsed="false">
      <c r="A252" s="72"/>
      <c r="B252" s="16" t="str">
        <f aca="false">IFERROR(INDEX('Registro de Fichas'!$E$7:$E$1200,MATCH($A252,'Registro de Fichas'!$D$7:$D$1200,0)),"")</f>
        <v/>
      </c>
      <c r="C252" s="74" t="n">
        <f aca="false">COUNTIF('Registro de Fichas'!$D$7:$D$1200,$A252)</f>
        <v>0</v>
      </c>
      <c r="D252" s="72"/>
      <c r="E252" s="73" t="str">
        <f aca="false">IFERROR(AVERAGEIF('Registro de Fichas'!$D$7:$D$1200,$A252,'Registro de Fichas'!$G$7:$G$1200),"")</f>
        <v/>
      </c>
      <c r="F252" s="73" t="str">
        <f aca="false">IFERROR(AVERAGEIF('Registro de Fichas'!$D$7:$D$1200,$A252,'Registro de Fichas'!$H$7:$H$1200),"")</f>
        <v/>
      </c>
      <c r="G252" s="73" t="str">
        <f aca="false">IFERROR(AVERAGEIF('Registro de Fichas'!$D$7:$D$1200,$A252,'Registro de Fichas'!$I$7:$I$1200),"")</f>
        <v/>
      </c>
      <c r="H252" s="73" t="str">
        <f aca="false">IFERROR(AVERAGEIF('Registro de Fichas'!$D$7:$D$1200,$A252,'Registro de Fichas'!$J$7:$J$1200),"")</f>
        <v/>
      </c>
      <c r="I252" s="56" t="str">
        <f aca="false">IF($C252=0,"",IF($C252&gt;=Parametros!$B$27,"OK","FALTAN "&amp;(Parametros!$B$27-$C252)))</f>
        <v/>
      </c>
      <c r="J252" s="56" t="str">
        <f aca="false">IF($C252=0,"",SUMIF('Registro de Fichas'!$D$7:$D$1200,$A252,'Registro de Fichas'!$M$7:$M$1200))</f>
        <v/>
      </c>
      <c r="K252" s="74" t="n">
        <f aca="false">COUNTIFS('Registro de Fichas'!$D$7:$D$1200,$A252,'Registro de Fichas'!$K$7:$K$1200,"Contenedores")</f>
        <v>0</v>
      </c>
      <c r="L252" s="74" t="n">
        <f aca="false">COUNTIFS('Registro de Fichas'!$D$7:$D$1200,$A252,'Registro de Fichas'!$K$7:$K$1200,"Granel solido")</f>
        <v>0</v>
      </c>
      <c r="M252" s="74" t="n">
        <f aca="false">COUNTIFS('Registro de Fichas'!$D$7:$D$1200,$A252,'Registro de Fichas'!$K$7:$K$1200,"Carga fraccionada")</f>
        <v>0</v>
      </c>
      <c r="N252" s="74" t="n">
        <f aca="false">COUNTIFS('Registro de Fichas'!$D$7:$D$1200,$A252,'Registro de Fichas'!$K$7:$K$1200,"Big bags")</f>
        <v>0</v>
      </c>
      <c r="O252" s="74" t="n">
        <f aca="false">COUNTIFS('Registro de Fichas'!$D$7:$D$1200,$A252,'Registro de Fichas'!$L$7:$L$1200,"Si")</f>
        <v>0</v>
      </c>
      <c r="P252" s="75" t="str">
        <f aca="false">IF($C252=0,"",IF($C252&lt;Parametros!$B$27,"EVIDENCIA INSUFICIENTE",IF(AND($D252&lt;&gt;"",$C252&lt;$D252*Parametros!$B$28),"BAJO % MUESTREO",IF($J252&lt;Parametros!$B$31,"POCOS EVALUADORES","VALIDA"))))</f>
        <v/>
      </c>
    </row>
    <row r="253" customFormat="false" ht="15" hidden="false" customHeight="true" outlineLevel="0" collapsed="false">
      <c r="A253" s="72"/>
      <c r="B253" s="13" t="str">
        <f aca="false">IFERROR(INDEX('Registro de Fichas'!$E$7:$E$1200,MATCH($A253,'Registro de Fichas'!$D$7:$D$1200,0)),"")</f>
        <v/>
      </c>
      <c r="C253" s="26" t="n">
        <f aca="false">COUNTIF('Registro de Fichas'!$D$7:$D$1200,$A253)</f>
        <v>0</v>
      </c>
      <c r="D253" s="72"/>
      <c r="E253" s="73" t="str">
        <f aca="false">IFERROR(AVERAGEIF('Registro de Fichas'!$D$7:$D$1200,$A253,'Registro de Fichas'!$G$7:$G$1200),"")</f>
        <v/>
      </c>
      <c r="F253" s="73" t="str">
        <f aca="false">IFERROR(AVERAGEIF('Registro de Fichas'!$D$7:$D$1200,$A253,'Registro de Fichas'!$H$7:$H$1200),"")</f>
        <v/>
      </c>
      <c r="G253" s="73" t="str">
        <f aca="false">IFERROR(AVERAGEIF('Registro de Fichas'!$D$7:$D$1200,$A253,'Registro de Fichas'!$I$7:$I$1200),"")</f>
        <v/>
      </c>
      <c r="H253" s="73" t="str">
        <f aca="false">IFERROR(AVERAGEIF('Registro de Fichas'!$D$7:$D$1200,$A253,'Registro de Fichas'!$J$7:$J$1200),"")</f>
        <v/>
      </c>
      <c r="I253" s="38" t="str">
        <f aca="false">IF($C253=0,"",IF($C253&gt;=Parametros!$B$27,"OK","FALTAN "&amp;(Parametros!$B$27-$C253)))</f>
        <v/>
      </c>
      <c r="J253" s="38" t="str">
        <f aca="false">IF($C253=0,"",SUMIF('Registro de Fichas'!$D$7:$D$1200,$A253,'Registro de Fichas'!$M$7:$M$1200))</f>
        <v/>
      </c>
      <c r="K253" s="26" t="n">
        <f aca="false">COUNTIFS('Registro de Fichas'!$D$7:$D$1200,$A253,'Registro de Fichas'!$K$7:$K$1200,"Contenedores")</f>
        <v>0</v>
      </c>
      <c r="L253" s="26" t="n">
        <f aca="false">COUNTIFS('Registro de Fichas'!$D$7:$D$1200,$A253,'Registro de Fichas'!$K$7:$K$1200,"Granel solido")</f>
        <v>0</v>
      </c>
      <c r="M253" s="26" t="n">
        <f aca="false">COUNTIFS('Registro de Fichas'!$D$7:$D$1200,$A253,'Registro de Fichas'!$K$7:$K$1200,"Carga fraccionada")</f>
        <v>0</v>
      </c>
      <c r="N253" s="26" t="n">
        <f aca="false">COUNTIFS('Registro de Fichas'!$D$7:$D$1200,$A253,'Registro de Fichas'!$K$7:$K$1200,"Big bags")</f>
        <v>0</v>
      </c>
      <c r="O253" s="26" t="n">
        <f aca="false">COUNTIFS('Registro de Fichas'!$D$7:$D$1200,$A253,'Registro de Fichas'!$L$7:$L$1200,"Si")</f>
        <v>0</v>
      </c>
      <c r="P253" s="23" t="str">
        <f aca="false">IF($C253=0,"",IF($C253&lt;Parametros!$B$27,"EVIDENCIA INSUFICIENTE",IF(AND($D253&lt;&gt;"",$C253&lt;$D253*Parametros!$B$28),"BAJO % MUESTREO",IF($J253&lt;Parametros!$B$31,"POCOS EVALUADORES","VALIDA"))))</f>
        <v/>
      </c>
    </row>
    <row r="254" customFormat="false" ht="15" hidden="false" customHeight="true" outlineLevel="0" collapsed="false">
      <c r="A254" s="72"/>
      <c r="B254" s="16" t="str">
        <f aca="false">IFERROR(INDEX('Registro de Fichas'!$E$7:$E$1200,MATCH($A254,'Registro de Fichas'!$D$7:$D$1200,0)),"")</f>
        <v/>
      </c>
      <c r="C254" s="74" t="n">
        <f aca="false">COUNTIF('Registro de Fichas'!$D$7:$D$1200,$A254)</f>
        <v>0</v>
      </c>
      <c r="D254" s="72"/>
      <c r="E254" s="73" t="str">
        <f aca="false">IFERROR(AVERAGEIF('Registro de Fichas'!$D$7:$D$1200,$A254,'Registro de Fichas'!$G$7:$G$1200),"")</f>
        <v/>
      </c>
      <c r="F254" s="73" t="str">
        <f aca="false">IFERROR(AVERAGEIF('Registro de Fichas'!$D$7:$D$1200,$A254,'Registro de Fichas'!$H$7:$H$1200),"")</f>
        <v/>
      </c>
      <c r="G254" s="73" t="str">
        <f aca="false">IFERROR(AVERAGEIF('Registro de Fichas'!$D$7:$D$1200,$A254,'Registro de Fichas'!$I$7:$I$1200),"")</f>
        <v/>
      </c>
      <c r="H254" s="73" t="str">
        <f aca="false">IFERROR(AVERAGEIF('Registro de Fichas'!$D$7:$D$1200,$A254,'Registro de Fichas'!$J$7:$J$1200),"")</f>
        <v/>
      </c>
      <c r="I254" s="56" t="str">
        <f aca="false">IF($C254=0,"",IF($C254&gt;=Parametros!$B$27,"OK","FALTAN "&amp;(Parametros!$B$27-$C254)))</f>
        <v/>
      </c>
      <c r="J254" s="56" t="str">
        <f aca="false">IF($C254=0,"",SUMIF('Registro de Fichas'!$D$7:$D$1200,$A254,'Registro de Fichas'!$M$7:$M$1200))</f>
        <v/>
      </c>
      <c r="K254" s="74" t="n">
        <f aca="false">COUNTIFS('Registro de Fichas'!$D$7:$D$1200,$A254,'Registro de Fichas'!$K$7:$K$1200,"Contenedores")</f>
        <v>0</v>
      </c>
      <c r="L254" s="74" t="n">
        <f aca="false">COUNTIFS('Registro de Fichas'!$D$7:$D$1200,$A254,'Registro de Fichas'!$K$7:$K$1200,"Granel solido")</f>
        <v>0</v>
      </c>
      <c r="M254" s="74" t="n">
        <f aca="false">COUNTIFS('Registro de Fichas'!$D$7:$D$1200,$A254,'Registro de Fichas'!$K$7:$K$1200,"Carga fraccionada")</f>
        <v>0</v>
      </c>
      <c r="N254" s="74" t="n">
        <f aca="false">COUNTIFS('Registro de Fichas'!$D$7:$D$1200,$A254,'Registro de Fichas'!$K$7:$K$1200,"Big bags")</f>
        <v>0</v>
      </c>
      <c r="O254" s="74" t="n">
        <f aca="false">COUNTIFS('Registro de Fichas'!$D$7:$D$1200,$A254,'Registro de Fichas'!$L$7:$L$1200,"Si")</f>
        <v>0</v>
      </c>
      <c r="P254" s="75" t="str">
        <f aca="false">IF($C254=0,"",IF($C254&lt;Parametros!$B$27,"EVIDENCIA INSUFICIENTE",IF(AND($D254&lt;&gt;"",$C254&lt;$D254*Parametros!$B$28),"BAJO % MUESTREO",IF($J254&lt;Parametros!$B$31,"POCOS EVALUADORES","VALIDA"))))</f>
        <v/>
      </c>
    </row>
    <row r="255" customFormat="false" ht="15" hidden="false" customHeight="true" outlineLevel="0" collapsed="false">
      <c r="A255" s="72"/>
      <c r="B255" s="13" t="str">
        <f aca="false">IFERROR(INDEX('Registro de Fichas'!$E$7:$E$1200,MATCH($A255,'Registro de Fichas'!$D$7:$D$1200,0)),"")</f>
        <v/>
      </c>
      <c r="C255" s="26" t="n">
        <f aca="false">COUNTIF('Registro de Fichas'!$D$7:$D$1200,$A255)</f>
        <v>0</v>
      </c>
      <c r="D255" s="72"/>
      <c r="E255" s="73" t="str">
        <f aca="false">IFERROR(AVERAGEIF('Registro de Fichas'!$D$7:$D$1200,$A255,'Registro de Fichas'!$G$7:$G$1200),"")</f>
        <v/>
      </c>
      <c r="F255" s="73" t="str">
        <f aca="false">IFERROR(AVERAGEIF('Registro de Fichas'!$D$7:$D$1200,$A255,'Registro de Fichas'!$H$7:$H$1200),"")</f>
        <v/>
      </c>
      <c r="G255" s="73" t="str">
        <f aca="false">IFERROR(AVERAGEIF('Registro de Fichas'!$D$7:$D$1200,$A255,'Registro de Fichas'!$I$7:$I$1200),"")</f>
        <v/>
      </c>
      <c r="H255" s="73" t="str">
        <f aca="false">IFERROR(AVERAGEIF('Registro de Fichas'!$D$7:$D$1200,$A255,'Registro de Fichas'!$J$7:$J$1200),"")</f>
        <v/>
      </c>
      <c r="I255" s="38" t="str">
        <f aca="false">IF($C255=0,"",IF($C255&gt;=Parametros!$B$27,"OK","FALTAN "&amp;(Parametros!$B$27-$C255)))</f>
        <v/>
      </c>
      <c r="J255" s="38" t="str">
        <f aca="false">IF($C255=0,"",SUMIF('Registro de Fichas'!$D$7:$D$1200,$A255,'Registro de Fichas'!$M$7:$M$1200))</f>
        <v/>
      </c>
      <c r="K255" s="26" t="n">
        <f aca="false">COUNTIFS('Registro de Fichas'!$D$7:$D$1200,$A255,'Registro de Fichas'!$K$7:$K$1200,"Contenedores")</f>
        <v>0</v>
      </c>
      <c r="L255" s="26" t="n">
        <f aca="false">COUNTIFS('Registro de Fichas'!$D$7:$D$1200,$A255,'Registro de Fichas'!$K$7:$K$1200,"Granel solido")</f>
        <v>0</v>
      </c>
      <c r="M255" s="26" t="n">
        <f aca="false">COUNTIFS('Registro de Fichas'!$D$7:$D$1200,$A255,'Registro de Fichas'!$K$7:$K$1200,"Carga fraccionada")</f>
        <v>0</v>
      </c>
      <c r="N255" s="26" t="n">
        <f aca="false">COUNTIFS('Registro de Fichas'!$D$7:$D$1200,$A255,'Registro de Fichas'!$K$7:$K$1200,"Big bags")</f>
        <v>0</v>
      </c>
      <c r="O255" s="26" t="n">
        <f aca="false">COUNTIFS('Registro de Fichas'!$D$7:$D$1200,$A255,'Registro de Fichas'!$L$7:$L$1200,"Si")</f>
        <v>0</v>
      </c>
      <c r="P255" s="23" t="str">
        <f aca="false">IF($C255=0,"",IF($C255&lt;Parametros!$B$27,"EVIDENCIA INSUFICIENTE",IF(AND($D255&lt;&gt;"",$C255&lt;$D255*Parametros!$B$28),"BAJO % MUESTREO",IF($J255&lt;Parametros!$B$31,"POCOS EVALUADORES","VALIDA"))))</f>
        <v/>
      </c>
    </row>
    <row r="256" customFormat="false" ht="15" hidden="false" customHeight="true" outlineLevel="0" collapsed="false">
      <c r="A256" s="72"/>
      <c r="B256" s="16" t="str">
        <f aca="false">IFERROR(INDEX('Registro de Fichas'!$E$7:$E$1200,MATCH($A256,'Registro de Fichas'!$D$7:$D$1200,0)),"")</f>
        <v/>
      </c>
      <c r="C256" s="74" t="n">
        <f aca="false">COUNTIF('Registro de Fichas'!$D$7:$D$1200,$A256)</f>
        <v>0</v>
      </c>
      <c r="D256" s="72"/>
      <c r="E256" s="73" t="str">
        <f aca="false">IFERROR(AVERAGEIF('Registro de Fichas'!$D$7:$D$1200,$A256,'Registro de Fichas'!$G$7:$G$1200),"")</f>
        <v/>
      </c>
      <c r="F256" s="73" t="str">
        <f aca="false">IFERROR(AVERAGEIF('Registro de Fichas'!$D$7:$D$1200,$A256,'Registro de Fichas'!$H$7:$H$1200),"")</f>
        <v/>
      </c>
      <c r="G256" s="73" t="str">
        <f aca="false">IFERROR(AVERAGEIF('Registro de Fichas'!$D$7:$D$1200,$A256,'Registro de Fichas'!$I$7:$I$1200),"")</f>
        <v/>
      </c>
      <c r="H256" s="73" t="str">
        <f aca="false">IFERROR(AVERAGEIF('Registro de Fichas'!$D$7:$D$1200,$A256,'Registro de Fichas'!$J$7:$J$1200),"")</f>
        <v/>
      </c>
      <c r="I256" s="56" t="str">
        <f aca="false">IF($C256=0,"",IF($C256&gt;=Parametros!$B$27,"OK","FALTAN "&amp;(Parametros!$B$27-$C256)))</f>
        <v/>
      </c>
      <c r="J256" s="56" t="str">
        <f aca="false">IF($C256=0,"",SUMIF('Registro de Fichas'!$D$7:$D$1200,$A256,'Registro de Fichas'!$M$7:$M$1200))</f>
        <v/>
      </c>
      <c r="K256" s="74" t="n">
        <f aca="false">COUNTIFS('Registro de Fichas'!$D$7:$D$1200,$A256,'Registro de Fichas'!$K$7:$K$1200,"Contenedores")</f>
        <v>0</v>
      </c>
      <c r="L256" s="74" t="n">
        <f aca="false">COUNTIFS('Registro de Fichas'!$D$7:$D$1200,$A256,'Registro de Fichas'!$K$7:$K$1200,"Granel solido")</f>
        <v>0</v>
      </c>
      <c r="M256" s="74" t="n">
        <f aca="false">COUNTIFS('Registro de Fichas'!$D$7:$D$1200,$A256,'Registro de Fichas'!$K$7:$K$1200,"Carga fraccionada")</f>
        <v>0</v>
      </c>
      <c r="N256" s="74" t="n">
        <f aca="false">COUNTIFS('Registro de Fichas'!$D$7:$D$1200,$A256,'Registro de Fichas'!$K$7:$K$1200,"Big bags")</f>
        <v>0</v>
      </c>
      <c r="O256" s="74" t="n">
        <f aca="false">COUNTIFS('Registro de Fichas'!$D$7:$D$1200,$A256,'Registro de Fichas'!$L$7:$L$1200,"Si")</f>
        <v>0</v>
      </c>
      <c r="P256" s="75" t="str">
        <f aca="false">IF($C256=0,"",IF($C256&lt;Parametros!$B$27,"EVIDENCIA INSUFICIENTE",IF(AND($D256&lt;&gt;"",$C256&lt;$D256*Parametros!$B$28),"BAJO % MUESTREO",IF($J256&lt;Parametros!$B$31,"POCOS EVALUADORES","VALIDA"))))</f>
        <v/>
      </c>
    </row>
    <row r="257" customFormat="false" ht="15" hidden="false" customHeight="true" outlineLevel="0" collapsed="false">
      <c r="A257" s="72"/>
      <c r="B257" s="13" t="str">
        <f aca="false">IFERROR(INDEX('Registro de Fichas'!$E$7:$E$1200,MATCH($A257,'Registro de Fichas'!$D$7:$D$1200,0)),"")</f>
        <v/>
      </c>
      <c r="C257" s="26" t="n">
        <f aca="false">COUNTIF('Registro de Fichas'!$D$7:$D$1200,$A257)</f>
        <v>0</v>
      </c>
      <c r="D257" s="72"/>
      <c r="E257" s="73" t="str">
        <f aca="false">IFERROR(AVERAGEIF('Registro de Fichas'!$D$7:$D$1200,$A257,'Registro de Fichas'!$G$7:$G$1200),"")</f>
        <v/>
      </c>
      <c r="F257" s="73" t="str">
        <f aca="false">IFERROR(AVERAGEIF('Registro de Fichas'!$D$7:$D$1200,$A257,'Registro de Fichas'!$H$7:$H$1200),"")</f>
        <v/>
      </c>
      <c r="G257" s="73" t="str">
        <f aca="false">IFERROR(AVERAGEIF('Registro de Fichas'!$D$7:$D$1200,$A257,'Registro de Fichas'!$I$7:$I$1200),"")</f>
        <v/>
      </c>
      <c r="H257" s="73" t="str">
        <f aca="false">IFERROR(AVERAGEIF('Registro de Fichas'!$D$7:$D$1200,$A257,'Registro de Fichas'!$J$7:$J$1200),"")</f>
        <v/>
      </c>
      <c r="I257" s="38" t="str">
        <f aca="false">IF($C257=0,"",IF($C257&gt;=Parametros!$B$27,"OK","FALTAN "&amp;(Parametros!$B$27-$C257)))</f>
        <v/>
      </c>
      <c r="J257" s="38" t="str">
        <f aca="false">IF($C257=0,"",SUMIF('Registro de Fichas'!$D$7:$D$1200,$A257,'Registro de Fichas'!$M$7:$M$1200))</f>
        <v/>
      </c>
      <c r="K257" s="26" t="n">
        <f aca="false">COUNTIFS('Registro de Fichas'!$D$7:$D$1200,$A257,'Registro de Fichas'!$K$7:$K$1200,"Contenedores")</f>
        <v>0</v>
      </c>
      <c r="L257" s="26" t="n">
        <f aca="false">COUNTIFS('Registro de Fichas'!$D$7:$D$1200,$A257,'Registro de Fichas'!$K$7:$K$1200,"Granel solido")</f>
        <v>0</v>
      </c>
      <c r="M257" s="26" t="n">
        <f aca="false">COUNTIFS('Registro de Fichas'!$D$7:$D$1200,$A257,'Registro de Fichas'!$K$7:$K$1200,"Carga fraccionada")</f>
        <v>0</v>
      </c>
      <c r="N257" s="26" t="n">
        <f aca="false">COUNTIFS('Registro de Fichas'!$D$7:$D$1200,$A257,'Registro de Fichas'!$K$7:$K$1200,"Big bags")</f>
        <v>0</v>
      </c>
      <c r="O257" s="26" t="n">
        <f aca="false">COUNTIFS('Registro de Fichas'!$D$7:$D$1200,$A257,'Registro de Fichas'!$L$7:$L$1200,"Si")</f>
        <v>0</v>
      </c>
      <c r="P257" s="23" t="str">
        <f aca="false">IF($C257=0,"",IF($C257&lt;Parametros!$B$27,"EVIDENCIA INSUFICIENTE",IF(AND($D257&lt;&gt;"",$C257&lt;$D257*Parametros!$B$28),"BAJO % MUESTREO",IF($J257&lt;Parametros!$B$31,"POCOS EVALUADORES","VALIDA"))))</f>
        <v/>
      </c>
    </row>
    <row r="258" customFormat="false" ht="15" hidden="false" customHeight="true" outlineLevel="0" collapsed="false">
      <c r="A258" s="72"/>
      <c r="B258" s="16" t="str">
        <f aca="false">IFERROR(INDEX('Registro de Fichas'!$E$7:$E$1200,MATCH($A258,'Registro de Fichas'!$D$7:$D$1200,0)),"")</f>
        <v/>
      </c>
      <c r="C258" s="74" t="n">
        <f aca="false">COUNTIF('Registro de Fichas'!$D$7:$D$1200,$A258)</f>
        <v>0</v>
      </c>
      <c r="D258" s="72"/>
      <c r="E258" s="73" t="str">
        <f aca="false">IFERROR(AVERAGEIF('Registro de Fichas'!$D$7:$D$1200,$A258,'Registro de Fichas'!$G$7:$G$1200),"")</f>
        <v/>
      </c>
      <c r="F258" s="73" t="str">
        <f aca="false">IFERROR(AVERAGEIF('Registro de Fichas'!$D$7:$D$1200,$A258,'Registro de Fichas'!$H$7:$H$1200),"")</f>
        <v/>
      </c>
      <c r="G258" s="73" t="str">
        <f aca="false">IFERROR(AVERAGEIF('Registro de Fichas'!$D$7:$D$1200,$A258,'Registro de Fichas'!$I$7:$I$1200),"")</f>
        <v/>
      </c>
      <c r="H258" s="73" t="str">
        <f aca="false">IFERROR(AVERAGEIF('Registro de Fichas'!$D$7:$D$1200,$A258,'Registro de Fichas'!$J$7:$J$1200),"")</f>
        <v/>
      </c>
      <c r="I258" s="56" t="str">
        <f aca="false">IF($C258=0,"",IF($C258&gt;=Parametros!$B$27,"OK","FALTAN "&amp;(Parametros!$B$27-$C258)))</f>
        <v/>
      </c>
      <c r="J258" s="56" t="str">
        <f aca="false">IF($C258=0,"",SUMIF('Registro de Fichas'!$D$7:$D$1200,$A258,'Registro de Fichas'!$M$7:$M$1200))</f>
        <v/>
      </c>
      <c r="K258" s="74" t="n">
        <f aca="false">COUNTIFS('Registro de Fichas'!$D$7:$D$1200,$A258,'Registro de Fichas'!$K$7:$K$1200,"Contenedores")</f>
        <v>0</v>
      </c>
      <c r="L258" s="74" t="n">
        <f aca="false">COUNTIFS('Registro de Fichas'!$D$7:$D$1200,$A258,'Registro de Fichas'!$K$7:$K$1200,"Granel solido")</f>
        <v>0</v>
      </c>
      <c r="M258" s="74" t="n">
        <f aca="false">COUNTIFS('Registro de Fichas'!$D$7:$D$1200,$A258,'Registro de Fichas'!$K$7:$K$1200,"Carga fraccionada")</f>
        <v>0</v>
      </c>
      <c r="N258" s="74" t="n">
        <f aca="false">COUNTIFS('Registro de Fichas'!$D$7:$D$1200,$A258,'Registro de Fichas'!$K$7:$K$1200,"Big bags")</f>
        <v>0</v>
      </c>
      <c r="O258" s="74" t="n">
        <f aca="false">COUNTIFS('Registro de Fichas'!$D$7:$D$1200,$A258,'Registro de Fichas'!$L$7:$L$1200,"Si")</f>
        <v>0</v>
      </c>
      <c r="P258" s="75" t="str">
        <f aca="false">IF($C258=0,"",IF($C258&lt;Parametros!$B$27,"EVIDENCIA INSUFICIENTE",IF(AND($D258&lt;&gt;"",$C258&lt;$D258*Parametros!$B$28),"BAJO % MUESTREO",IF($J258&lt;Parametros!$B$31,"POCOS EVALUADORES","VALIDA"))))</f>
        <v/>
      </c>
    </row>
    <row r="259" customFormat="false" ht="15" hidden="false" customHeight="true" outlineLevel="0" collapsed="false">
      <c r="A259" s="72"/>
      <c r="B259" s="13" t="str">
        <f aca="false">IFERROR(INDEX('Registro de Fichas'!$E$7:$E$1200,MATCH($A259,'Registro de Fichas'!$D$7:$D$1200,0)),"")</f>
        <v/>
      </c>
      <c r="C259" s="26" t="n">
        <f aca="false">COUNTIF('Registro de Fichas'!$D$7:$D$1200,$A259)</f>
        <v>0</v>
      </c>
      <c r="D259" s="72"/>
      <c r="E259" s="73" t="str">
        <f aca="false">IFERROR(AVERAGEIF('Registro de Fichas'!$D$7:$D$1200,$A259,'Registro de Fichas'!$G$7:$G$1200),"")</f>
        <v/>
      </c>
      <c r="F259" s="73" t="str">
        <f aca="false">IFERROR(AVERAGEIF('Registro de Fichas'!$D$7:$D$1200,$A259,'Registro de Fichas'!$H$7:$H$1200),"")</f>
        <v/>
      </c>
      <c r="G259" s="73" t="str">
        <f aca="false">IFERROR(AVERAGEIF('Registro de Fichas'!$D$7:$D$1200,$A259,'Registro de Fichas'!$I$7:$I$1200),"")</f>
        <v/>
      </c>
      <c r="H259" s="73" t="str">
        <f aca="false">IFERROR(AVERAGEIF('Registro de Fichas'!$D$7:$D$1200,$A259,'Registro de Fichas'!$J$7:$J$1200),"")</f>
        <v/>
      </c>
      <c r="I259" s="38" t="str">
        <f aca="false">IF($C259=0,"",IF($C259&gt;=Parametros!$B$27,"OK","FALTAN "&amp;(Parametros!$B$27-$C259)))</f>
        <v/>
      </c>
      <c r="J259" s="38" t="str">
        <f aca="false">IF($C259=0,"",SUMIF('Registro de Fichas'!$D$7:$D$1200,$A259,'Registro de Fichas'!$M$7:$M$1200))</f>
        <v/>
      </c>
      <c r="K259" s="26" t="n">
        <f aca="false">COUNTIFS('Registro de Fichas'!$D$7:$D$1200,$A259,'Registro de Fichas'!$K$7:$K$1200,"Contenedores")</f>
        <v>0</v>
      </c>
      <c r="L259" s="26" t="n">
        <f aca="false">COUNTIFS('Registro de Fichas'!$D$7:$D$1200,$A259,'Registro de Fichas'!$K$7:$K$1200,"Granel solido")</f>
        <v>0</v>
      </c>
      <c r="M259" s="26" t="n">
        <f aca="false">COUNTIFS('Registro de Fichas'!$D$7:$D$1200,$A259,'Registro de Fichas'!$K$7:$K$1200,"Carga fraccionada")</f>
        <v>0</v>
      </c>
      <c r="N259" s="26" t="n">
        <f aca="false">COUNTIFS('Registro de Fichas'!$D$7:$D$1200,$A259,'Registro de Fichas'!$K$7:$K$1200,"Big bags")</f>
        <v>0</v>
      </c>
      <c r="O259" s="26" t="n">
        <f aca="false">COUNTIFS('Registro de Fichas'!$D$7:$D$1200,$A259,'Registro de Fichas'!$L$7:$L$1200,"Si")</f>
        <v>0</v>
      </c>
      <c r="P259" s="23" t="str">
        <f aca="false">IF($C259=0,"",IF($C259&lt;Parametros!$B$27,"EVIDENCIA INSUFICIENTE",IF(AND($D259&lt;&gt;"",$C259&lt;$D259*Parametros!$B$28),"BAJO % MUESTREO",IF($J259&lt;Parametros!$B$31,"POCOS EVALUADORES","VALIDA"))))</f>
        <v/>
      </c>
    </row>
    <row r="260" customFormat="false" ht="15" hidden="false" customHeight="true" outlineLevel="0" collapsed="false">
      <c r="A260" s="72"/>
      <c r="B260" s="16" t="str">
        <f aca="false">IFERROR(INDEX('Registro de Fichas'!$E$7:$E$1200,MATCH($A260,'Registro de Fichas'!$D$7:$D$1200,0)),"")</f>
        <v/>
      </c>
      <c r="C260" s="74" t="n">
        <f aca="false">COUNTIF('Registro de Fichas'!$D$7:$D$1200,$A260)</f>
        <v>0</v>
      </c>
      <c r="D260" s="72"/>
      <c r="E260" s="73" t="str">
        <f aca="false">IFERROR(AVERAGEIF('Registro de Fichas'!$D$7:$D$1200,$A260,'Registro de Fichas'!$G$7:$G$1200),"")</f>
        <v/>
      </c>
      <c r="F260" s="73" t="str">
        <f aca="false">IFERROR(AVERAGEIF('Registro de Fichas'!$D$7:$D$1200,$A260,'Registro de Fichas'!$H$7:$H$1200),"")</f>
        <v/>
      </c>
      <c r="G260" s="73" t="str">
        <f aca="false">IFERROR(AVERAGEIF('Registro de Fichas'!$D$7:$D$1200,$A260,'Registro de Fichas'!$I$7:$I$1200),"")</f>
        <v/>
      </c>
      <c r="H260" s="73" t="str">
        <f aca="false">IFERROR(AVERAGEIF('Registro de Fichas'!$D$7:$D$1200,$A260,'Registro de Fichas'!$J$7:$J$1200),"")</f>
        <v/>
      </c>
      <c r="I260" s="56" t="str">
        <f aca="false">IF($C260=0,"",IF($C260&gt;=Parametros!$B$27,"OK","FALTAN "&amp;(Parametros!$B$27-$C260)))</f>
        <v/>
      </c>
      <c r="J260" s="56" t="str">
        <f aca="false">IF($C260=0,"",SUMIF('Registro de Fichas'!$D$7:$D$1200,$A260,'Registro de Fichas'!$M$7:$M$1200))</f>
        <v/>
      </c>
      <c r="K260" s="74" t="n">
        <f aca="false">COUNTIFS('Registro de Fichas'!$D$7:$D$1200,$A260,'Registro de Fichas'!$K$7:$K$1200,"Contenedores")</f>
        <v>0</v>
      </c>
      <c r="L260" s="74" t="n">
        <f aca="false">COUNTIFS('Registro de Fichas'!$D$7:$D$1200,$A260,'Registro de Fichas'!$K$7:$K$1200,"Granel solido")</f>
        <v>0</v>
      </c>
      <c r="M260" s="74" t="n">
        <f aca="false">COUNTIFS('Registro de Fichas'!$D$7:$D$1200,$A260,'Registro de Fichas'!$K$7:$K$1200,"Carga fraccionada")</f>
        <v>0</v>
      </c>
      <c r="N260" s="74" t="n">
        <f aca="false">COUNTIFS('Registro de Fichas'!$D$7:$D$1200,$A260,'Registro de Fichas'!$K$7:$K$1200,"Big bags")</f>
        <v>0</v>
      </c>
      <c r="O260" s="74" t="n">
        <f aca="false">COUNTIFS('Registro de Fichas'!$D$7:$D$1200,$A260,'Registro de Fichas'!$L$7:$L$1200,"Si")</f>
        <v>0</v>
      </c>
      <c r="P260" s="75" t="str">
        <f aca="false">IF($C260=0,"",IF($C260&lt;Parametros!$B$27,"EVIDENCIA INSUFICIENTE",IF(AND($D260&lt;&gt;"",$C260&lt;$D260*Parametros!$B$28),"BAJO % MUESTREO",IF($J260&lt;Parametros!$B$31,"POCOS EVALUADORES","VALIDA"))))</f>
        <v/>
      </c>
    </row>
    <row r="261" customFormat="false" ht="15" hidden="false" customHeight="true" outlineLevel="0" collapsed="false">
      <c r="A261" s="72"/>
      <c r="B261" s="13" t="str">
        <f aca="false">IFERROR(INDEX('Registro de Fichas'!$E$7:$E$1200,MATCH($A261,'Registro de Fichas'!$D$7:$D$1200,0)),"")</f>
        <v/>
      </c>
      <c r="C261" s="26" t="n">
        <f aca="false">COUNTIF('Registro de Fichas'!$D$7:$D$1200,$A261)</f>
        <v>0</v>
      </c>
      <c r="D261" s="72"/>
      <c r="E261" s="73" t="str">
        <f aca="false">IFERROR(AVERAGEIF('Registro de Fichas'!$D$7:$D$1200,$A261,'Registro de Fichas'!$G$7:$G$1200),"")</f>
        <v/>
      </c>
      <c r="F261" s="73" t="str">
        <f aca="false">IFERROR(AVERAGEIF('Registro de Fichas'!$D$7:$D$1200,$A261,'Registro de Fichas'!$H$7:$H$1200),"")</f>
        <v/>
      </c>
      <c r="G261" s="73" t="str">
        <f aca="false">IFERROR(AVERAGEIF('Registro de Fichas'!$D$7:$D$1200,$A261,'Registro de Fichas'!$I$7:$I$1200),"")</f>
        <v/>
      </c>
      <c r="H261" s="73" t="str">
        <f aca="false">IFERROR(AVERAGEIF('Registro de Fichas'!$D$7:$D$1200,$A261,'Registro de Fichas'!$J$7:$J$1200),"")</f>
        <v/>
      </c>
      <c r="I261" s="38" t="str">
        <f aca="false">IF($C261=0,"",IF($C261&gt;=Parametros!$B$27,"OK","FALTAN "&amp;(Parametros!$B$27-$C261)))</f>
        <v/>
      </c>
      <c r="J261" s="38" t="str">
        <f aca="false">IF($C261=0,"",SUMIF('Registro de Fichas'!$D$7:$D$1200,$A261,'Registro de Fichas'!$M$7:$M$1200))</f>
        <v/>
      </c>
      <c r="K261" s="26" t="n">
        <f aca="false">COUNTIFS('Registro de Fichas'!$D$7:$D$1200,$A261,'Registro de Fichas'!$K$7:$K$1200,"Contenedores")</f>
        <v>0</v>
      </c>
      <c r="L261" s="26" t="n">
        <f aca="false">COUNTIFS('Registro de Fichas'!$D$7:$D$1200,$A261,'Registro de Fichas'!$K$7:$K$1200,"Granel solido")</f>
        <v>0</v>
      </c>
      <c r="M261" s="26" t="n">
        <f aca="false">COUNTIFS('Registro de Fichas'!$D$7:$D$1200,$A261,'Registro de Fichas'!$K$7:$K$1200,"Carga fraccionada")</f>
        <v>0</v>
      </c>
      <c r="N261" s="26" t="n">
        <f aca="false">COUNTIFS('Registro de Fichas'!$D$7:$D$1200,$A261,'Registro de Fichas'!$K$7:$K$1200,"Big bags")</f>
        <v>0</v>
      </c>
      <c r="O261" s="26" t="n">
        <f aca="false">COUNTIFS('Registro de Fichas'!$D$7:$D$1200,$A261,'Registro de Fichas'!$L$7:$L$1200,"Si")</f>
        <v>0</v>
      </c>
      <c r="P261" s="23" t="str">
        <f aca="false">IF($C261=0,"",IF($C261&lt;Parametros!$B$27,"EVIDENCIA INSUFICIENTE",IF(AND($D261&lt;&gt;"",$C261&lt;$D261*Parametros!$B$28),"BAJO % MUESTREO",IF($J261&lt;Parametros!$B$31,"POCOS EVALUADORES","VALIDA"))))</f>
        <v/>
      </c>
    </row>
    <row r="262" customFormat="false" ht="15" hidden="false" customHeight="true" outlineLevel="0" collapsed="false">
      <c r="A262" s="72"/>
      <c r="B262" s="16" t="str">
        <f aca="false">IFERROR(INDEX('Registro de Fichas'!$E$7:$E$1200,MATCH($A262,'Registro de Fichas'!$D$7:$D$1200,0)),"")</f>
        <v/>
      </c>
      <c r="C262" s="74" t="n">
        <f aca="false">COUNTIF('Registro de Fichas'!$D$7:$D$1200,$A262)</f>
        <v>0</v>
      </c>
      <c r="D262" s="72"/>
      <c r="E262" s="73" t="str">
        <f aca="false">IFERROR(AVERAGEIF('Registro de Fichas'!$D$7:$D$1200,$A262,'Registro de Fichas'!$G$7:$G$1200),"")</f>
        <v/>
      </c>
      <c r="F262" s="73" t="str">
        <f aca="false">IFERROR(AVERAGEIF('Registro de Fichas'!$D$7:$D$1200,$A262,'Registro de Fichas'!$H$7:$H$1200),"")</f>
        <v/>
      </c>
      <c r="G262" s="73" t="str">
        <f aca="false">IFERROR(AVERAGEIF('Registro de Fichas'!$D$7:$D$1200,$A262,'Registro de Fichas'!$I$7:$I$1200),"")</f>
        <v/>
      </c>
      <c r="H262" s="73" t="str">
        <f aca="false">IFERROR(AVERAGEIF('Registro de Fichas'!$D$7:$D$1200,$A262,'Registro de Fichas'!$J$7:$J$1200),"")</f>
        <v/>
      </c>
      <c r="I262" s="56" t="str">
        <f aca="false">IF($C262=0,"",IF($C262&gt;=Parametros!$B$27,"OK","FALTAN "&amp;(Parametros!$B$27-$C262)))</f>
        <v/>
      </c>
      <c r="J262" s="56" t="str">
        <f aca="false">IF($C262=0,"",SUMIF('Registro de Fichas'!$D$7:$D$1200,$A262,'Registro de Fichas'!$M$7:$M$1200))</f>
        <v/>
      </c>
      <c r="K262" s="74" t="n">
        <f aca="false">COUNTIFS('Registro de Fichas'!$D$7:$D$1200,$A262,'Registro de Fichas'!$K$7:$K$1200,"Contenedores")</f>
        <v>0</v>
      </c>
      <c r="L262" s="74" t="n">
        <f aca="false">COUNTIFS('Registro de Fichas'!$D$7:$D$1200,$A262,'Registro de Fichas'!$K$7:$K$1200,"Granel solido")</f>
        <v>0</v>
      </c>
      <c r="M262" s="74" t="n">
        <f aca="false">COUNTIFS('Registro de Fichas'!$D$7:$D$1200,$A262,'Registro de Fichas'!$K$7:$K$1200,"Carga fraccionada")</f>
        <v>0</v>
      </c>
      <c r="N262" s="74" t="n">
        <f aca="false">COUNTIFS('Registro de Fichas'!$D$7:$D$1200,$A262,'Registro de Fichas'!$K$7:$K$1200,"Big bags")</f>
        <v>0</v>
      </c>
      <c r="O262" s="74" t="n">
        <f aca="false">COUNTIFS('Registro de Fichas'!$D$7:$D$1200,$A262,'Registro de Fichas'!$L$7:$L$1200,"Si")</f>
        <v>0</v>
      </c>
      <c r="P262" s="75" t="str">
        <f aca="false">IF($C262=0,"",IF($C262&lt;Parametros!$B$27,"EVIDENCIA INSUFICIENTE",IF(AND($D262&lt;&gt;"",$C262&lt;$D262*Parametros!$B$28),"BAJO % MUESTREO",IF($J262&lt;Parametros!$B$31,"POCOS EVALUADORES","VALIDA"))))</f>
        <v/>
      </c>
    </row>
    <row r="263" customFormat="false" ht="15" hidden="false" customHeight="true" outlineLevel="0" collapsed="false">
      <c r="A263" s="72"/>
      <c r="B263" s="13" t="str">
        <f aca="false">IFERROR(INDEX('Registro de Fichas'!$E$7:$E$1200,MATCH($A263,'Registro de Fichas'!$D$7:$D$1200,0)),"")</f>
        <v/>
      </c>
      <c r="C263" s="26" t="n">
        <f aca="false">COUNTIF('Registro de Fichas'!$D$7:$D$1200,$A263)</f>
        <v>0</v>
      </c>
      <c r="D263" s="72"/>
      <c r="E263" s="73" t="str">
        <f aca="false">IFERROR(AVERAGEIF('Registro de Fichas'!$D$7:$D$1200,$A263,'Registro de Fichas'!$G$7:$G$1200),"")</f>
        <v/>
      </c>
      <c r="F263" s="73" t="str">
        <f aca="false">IFERROR(AVERAGEIF('Registro de Fichas'!$D$7:$D$1200,$A263,'Registro de Fichas'!$H$7:$H$1200),"")</f>
        <v/>
      </c>
      <c r="G263" s="73" t="str">
        <f aca="false">IFERROR(AVERAGEIF('Registro de Fichas'!$D$7:$D$1200,$A263,'Registro de Fichas'!$I$7:$I$1200),"")</f>
        <v/>
      </c>
      <c r="H263" s="73" t="str">
        <f aca="false">IFERROR(AVERAGEIF('Registro de Fichas'!$D$7:$D$1200,$A263,'Registro de Fichas'!$J$7:$J$1200),"")</f>
        <v/>
      </c>
      <c r="I263" s="38" t="str">
        <f aca="false">IF($C263=0,"",IF($C263&gt;=Parametros!$B$27,"OK","FALTAN "&amp;(Parametros!$B$27-$C263)))</f>
        <v/>
      </c>
      <c r="J263" s="38" t="str">
        <f aca="false">IF($C263=0,"",SUMIF('Registro de Fichas'!$D$7:$D$1200,$A263,'Registro de Fichas'!$M$7:$M$1200))</f>
        <v/>
      </c>
      <c r="K263" s="26" t="n">
        <f aca="false">COUNTIFS('Registro de Fichas'!$D$7:$D$1200,$A263,'Registro de Fichas'!$K$7:$K$1200,"Contenedores")</f>
        <v>0</v>
      </c>
      <c r="L263" s="26" t="n">
        <f aca="false">COUNTIFS('Registro de Fichas'!$D$7:$D$1200,$A263,'Registro de Fichas'!$K$7:$K$1200,"Granel solido")</f>
        <v>0</v>
      </c>
      <c r="M263" s="26" t="n">
        <f aca="false">COUNTIFS('Registro de Fichas'!$D$7:$D$1200,$A263,'Registro de Fichas'!$K$7:$K$1200,"Carga fraccionada")</f>
        <v>0</v>
      </c>
      <c r="N263" s="26" t="n">
        <f aca="false">COUNTIFS('Registro de Fichas'!$D$7:$D$1200,$A263,'Registro de Fichas'!$K$7:$K$1200,"Big bags")</f>
        <v>0</v>
      </c>
      <c r="O263" s="26" t="n">
        <f aca="false">COUNTIFS('Registro de Fichas'!$D$7:$D$1200,$A263,'Registro de Fichas'!$L$7:$L$1200,"Si")</f>
        <v>0</v>
      </c>
      <c r="P263" s="23" t="str">
        <f aca="false">IF($C263=0,"",IF($C263&lt;Parametros!$B$27,"EVIDENCIA INSUFICIENTE",IF(AND($D263&lt;&gt;"",$C263&lt;$D263*Parametros!$B$28),"BAJO % MUESTREO",IF($J263&lt;Parametros!$B$31,"POCOS EVALUADORES","VALIDA"))))</f>
        <v/>
      </c>
    </row>
    <row r="264" customFormat="false" ht="15" hidden="false" customHeight="true" outlineLevel="0" collapsed="false">
      <c r="A264" s="72"/>
      <c r="B264" s="16" t="str">
        <f aca="false">IFERROR(INDEX('Registro de Fichas'!$E$7:$E$1200,MATCH($A264,'Registro de Fichas'!$D$7:$D$1200,0)),"")</f>
        <v/>
      </c>
      <c r="C264" s="74" t="n">
        <f aca="false">COUNTIF('Registro de Fichas'!$D$7:$D$1200,$A264)</f>
        <v>0</v>
      </c>
      <c r="D264" s="72"/>
      <c r="E264" s="73" t="str">
        <f aca="false">IFERROR(AVERAGEIF('Registro de Fichas'!$D$7:$D$1200,$A264,'Registro de Fichas'!$G$7:$G$1200),"")</f>
        <v/>
      </c>
      <c r="F264" s="73" t="str">
        <f aca="false">IFERROR(AVERAGEIF('Registro de Fichas'!$D$7:$D$1200,$A264,'Registro de Fichas'!$H$7:$H$1200),"")</f>
        <v/>
      </c>
      <c r="G264" s="73" t="str">
        <f aca="false">IFERROR(AVERAGEIF('Registro de Fichas'!$D$7:$D$1200,$A264,'Registro de Fichas'!$I$7:$I$1200),"")</f>
        <v/>
      </c>
      <c r="H264" s="73" t="str">
        <f aca="false">IFERROR(AVERAGEIF('Registro de Fichas'!$D$7:$D$1200,$A264,'Registro de Fichas'!$J$7:$J$1200),"")</f>
        <v/>
      </c>
      <c r="I264" s="56" t="str">
        <f aca="false">IF($C264=0,"",IF($C264&gt;=Parametros!$B$27,"OK","FALTAN "&amp;(Parametros!$B$27-$C264)))</f>
        <v/>
      </c>
      <c r="J264" s="56" t="str">
        <f aca="false">IF($C264=0,"",SUMIF('Registro de Fichas'!$D$7:$D$1200,$A264,'Registro de Fichas'!$M$7:$M$1200))</f>
        <v/>
      </c>
      <c r="K264" s="74" t="n">
        <f aca="false">COUNTIFS('Registro de Fichas'!$D$7:$D$1200,$A264,'Registro de Fichas'!$K$7:$K$1200,"Contenedores")</f>
        <v>0</v>
      </c>
      <c r="L264" s="74" t="n">
        <f aca="false">COUNTIFS('Registro de Fichas'!$D$7:$D$1200,$A264,'Registro de Fichas'!$K$7:$K$1200,"Granel solido")</f>
        <v>0</v>
      </c>
      <c r="M264" s="74" t="n">
        <f aca="false">COUNTIFS('Registro de Fichas'!$D$7:$D$1200,$A264,'Registro de Fichas'!$K$7:$K$1200,"Carga fraccionada")</f>
        <v>0</v>
      </c>
      <c r="N264" s="74" t="n">
        <f aca="false">COUNTIFS('Registro de Fichas'!$D$7:$D$1200,$A264,'Registro de Fichas'!$K$7:$K$1200,"Big bags")</f>
        <v>0</v>
      </c>
      <c r="O264" s="74" t="n">
        <f aca="false">COUNTIFS('Registro de Fichas'!$D$7:$D$1200,$A264,'Registro de Fichas'!$L$7:$L$1200,"Si")</f>
        <v>0</v>
      </c>
      <c r="P264" s="75" t="str">
        <f aca="false">IF($C264=0,"",IF($C264&lt;Parametros!$B$27,"EVIDENCIA INSUFICIENTE",IF(AND($D264&lt;&gt;"",$C264&lt;$D264*Parametros!$B$28),"BAJO % MUESTREO",IF($J264&lt;Parametros!$B$31,"POCOS EVALUADORES","VALIDA"))))</f>
        <v/>
      </c>
    </row>
    <row r="265" customFormat="false" ht="15" hidden="false" customHeight="true" outlineLevel="0" collapsed="false">
      <c r="A265" s="72"/>
      <c r="B265" s="13" t="str">
        <f aca="false">IFERROR(INDEX('Registro de Fichas'!$E$7:$E$1200,MATCH($A265,'Registro de Fichas'!$D$7:$D$1200,0)),"")</f>
        <v/>
      </c>
      <c r="C265" s="26" t="n">
        <f aca="false">COUNTIF('Registro de Fichas'!$D$7:$D$1200,$A265)</f>
        <v>0</v>
      </c>
      <c r="D265" s="72"/>
      <c r="E265" s="73" t="str">
        <f aca="false">IFERROR(AVERAGEIF('Registro de Fichas'!$D$7:$D$1200,$A265,'Registro de Fichas'!$G$7:$G$1200),"")</f>
        <v/>
      </c>
      <c r="F265" s="73" t="str">
        <f aca="false">IFERROR(AVERAGEIF('Registro de Fichas'!$D$7:$D$1200,$A265,'Registro de Fichas'!$H$7:$H$1200),"")</f>
        <v/>
      </c>
      <c r="G265" s="73" t="str">
        <f aca="false">IFERROR(AVERAGEIF('Registro de Fichas'!$D$7:$D$1200,$A265,'Registro de Fichas'!$I$7:$I$1200),"")</f>
        <v/>
      </c>
      <c r="H265" s="73" t="str">
        <f aca="false">IFERROR(AVERAGEIF('Registro de Fichas'!$D$7:$D$1200,$A265,'Registro de Fichas'!$J$7:$J$1200),"")</f>
        <v/>
      </c>
      <c r="I265" s="38" t="str">
        <f aca="false">IF($C265=0,"",IF($C265&gt;=Parametros!$B$27,"OK","FALTAN "&amp;(Parametros!$B$27-$C265)))</f>
        <v/>
      </c>
      <c r="J265" s="38" t="str">
        <f aca="false">IF($C265=0,"",SUMIF('Registro de Fichas'!$D$7:$D$1200,$A265,'Registro de Fichas'!$M$7:$M$1200))</f>
        <v/>
      </c>
      <c r="K265" s="26" t="n">
        <f aca="false">COUNTIFS('Registro de Fichas'!$D$7:$D$1200,$A265,'Registro de Fichas'!$K$7:$K$1200,"Contenedores")</f>
        <v>0</v>
      </c>
      <c r="L265" s="26" t="n">
        <f aca="false">COUNTIFS('Registro de Fichas'!$D$7:$D$1200,$A265,'Registro de Fichas'!$K$7:$K$1200,"Granel solido")</f>
        <v>0</v>
      </c>
      <c r="M265" s="26" t="n">
        <f aca="false">COUNTIFS('Registro de Fichas'!$D$7:$D$1200,$A265,'Registro de Fichas'!$K$7:$K$1200,"Carga fraccionada")</f>
        <v>0</v>
      </c>
      <c r="N265" s="26" t="n">
        <f aca="false">COUNTIFS('Registro de Fichas'!$D$7:$D$1200,$A265,'Registro de Fichas'!$K$7:$K$1200,"Big bags")</f>
        <v>0</v>
      </c>
      <c r="O265" s="26" t="n">
        <f aca="false">COUNTIFS('Registro de Fichas'!$D$7:$D$1200,$A265,'Registro de Fichas'!$L$7:$L$1200,"Si")</f>
        <v>0</v>
      </c>
      <c r="P265" s="23" t="str">
        <f aca="false">IF($C265=0,"",IF($C265&lt;Parametros!$B$27,"EVIDENCIA INSUFICIENTE",IF(AND($D265&lt;&gt;"",$C265&lt;$D265*Parametros!$B$28),"BAJO % MUESTREO",IF($J265&lt;Parametros!$B$31,"POCOS EVALUADORES","VALIDA"))))</f>
        <v/>
      </c>
    </row>
    <row r="266" customFormat="false" ht="15" hidden="false" customHeight="true" outlineLevel="0" collapsed="false">
      <c r="A266" s="72"/>
      <c r="B266" s="16" t="str">
        <f aca="false">IFERROR(INDEX('Registro de Fichas'!$E$7:$E$1200,MATCH($A266,'Registro de Fichas'!$D$7:$D$1200,0)),"")</f>
        <v/>
      </c>
      <c r="C266" s="74" t="n">
        <f aca="false">COUNTIF('Registro de Fichas'!$D$7:$D$1200,$A266)</f>
        <v>0</v>
      </c>
      <c r="D266" s="72"/>
      <c r="E266" s="73" t="str">
        <f aca="false">IFERROR(AVERAGEIF('Registro de Fichas'!$D$7:$D$1200,$A266,'Registro de Fichas'!$G$7:$G$1200),"")</f>
        <v/>
      </c>
      <c r="F266" s="73" t="str">
        <f aca="false">IFERROR(AVERAGEIF('Registro de Fichas'!$D$7:$D$1200,$A266,'Registro de Fichas'!$H$7:$H$1200),"")</f>
        <v/>
      </c>
      <c r="G266" s="73" t="str">
        <f aca="false">IFERROR(AVERAGEIF('Registro de Fichas'!$D$7:$D$1200,$A266,'Registro de Fichas'!$I$7:$I$1200),"")</f>
        <v/>
      </c>
      <c r="H266" s="73" t="str">
        <f aca="false">IFERROR(AVERAGEIF('Registro de Fichas'!$D$7:$D$1200,$A266,'Registro de Fichas'!$J$7:$J$1200),"")</f>
        <v/>
      </c>
      <c r="I266" s="56" t="str">
        <f aca="false">IF($C266=0,"",IF($C266&gt;=Parametros!$B$27,"OK","FALTAN "&amp;(Parametros!$B$27-$C266)))</f>
        <v/>
      </c>
      <c r="J266" s="56" t="str">
        <f aca="false">IF($C266=0,"",SUMIF('Registro de Fichas'!$D$7:$D$1200,$A266,'Registro de Fichas'!$M$7:$M$1200))</f>
        <v/>
      </c>
      <c r="K266" s="74" t="n">
        <f aca="false">COUNTIFS('Registro de Fichas'!$D$7:$D$1200,$A266,'Registro de Fichas'!$K$7:$K$1200,"Contenedores")</f>
        <v>0</v>
      </c>
      <c r="L266" s="74" t="n">
        <f aca="false">COUNTIFS('Registro de Fichas'!$D$7:$D$1200,$A266,'Registro de Fichas'!$K$7:$K$1200,"Granel solido")</f>
        <v>0</v>
      </c>
      <c r="M266" s="74" t="n">
        <f aca="false">COUNTIFS('Registro de Fichas'!$D$7:$D$1200,$A266,'Registro de Fichas'!$K$7:$K$1200,"Carga fraccionada")</f>
        <v>0</v>
      </c>
      <c r="N266" s="74" t="n">
        <f aca="false">COUNTIFS('Registro de Fichas'!$D$7:$D$1200,$A266,'Registro de Fichas'!$K$7:$K$1200,"Big bags")</f>
        <v>0</v>
      </c>
      <c r="O266" s="74" t="n">
        <f aca="false">COUNTIFS('Registro de Fichas'!$D$7:$D$1200,$A266,'Registro de Fichas'!$L$7:$L$1200,"Si")</f>
        <v>0</v>
      </c>
      <c r="P266" s="75" t="str">
        <f aca="false">IF($C266=0,"",IF($C266&lt;Parametros!$B$27,"EVIDENCIA INSUFICIENTE",IF(AND($D266&lt;&gt;"",$C266&lt;$D266*Parametros!$B$28),"BAJO % MUESTREO",IF($J266&lt;Parametros!$B$31,"POCOS EVALUADORES","VALIDA"))))</f>
        <v/>
      </c>
    </row>
    <row r="267" customFormat="false" ht="15" hidden="false" customHeight="true" outlineLevel="0" collapsed="false">
      <c r="A267" s="72"/>
      <c r="B267" s="13" t="str">
        <f aca="false">IFERROR(INDEX('Registro de Fichas'!$E$7:$E$1200,MATCH($A267,'Registro de Fichas'!$D$7:$D$1200,0)),"")</f>
        <v/>
      </c>
      <c r="C267" s="26" t="n">
        <f aca="false">COUNTIF('Registro de Fichas'!$D$7:$D$1200,$A267)</f>
        <v>0</v>
      </c>
      <c r="D267" s="72"/>
      <c r="E267" s="73" t="str">
        <f aca="false">IFERROR(AVERAGEIF('Registro de Fichas'!$D$7:$D$1200,$A267,'Registro de Fichas'!$G$7:$G$1200),"")</f>
        <v/>
      </c>
      <c r="F267" s="73" t="str">
        <f aca="false">IFERROR(AVERAGEIF('Registro de Fichas'!$D$7:$D$1200,$A267,'Registro de Fichas'!$H$7:$H$1200),"")</f>
        <v/>
      </c>
      <c r="G267" s="73" t="str">
        <f aca="false">IFERROR(AVERAGEIF('Registro de Fichas'!$D$7:$D$1200,$A267,'Registro de Fichas'!$I$7:$I$1200),"")</f>
        <v/>
      </c>
      <c r="H267" s="73" t="str">
        <f aca="false">IFERROR(AVERAGEIF('Registro de Fichas'!$D$7:$D$1200,$A267,'Registro de Fichas'!$J$7:$J$1200),"")</f>
        <v/>
      </c>
      <c r="I267" s="38" t="str">
        <f aca="false">IF($C267=0,"",IF($C267&gt;=Parametros!$B$27,"OK","FALTAN "&amp;(Parametros!$B$27-$C267)))</f>
        <v/>
      </c>
      <c r="J267" s="38" t="str">
        <f aca="false">IF($C267=0,"",SUMIF('Registro de Fichas'!$D$7:$D$1200,$A267,'Registro de Fichas'!$M$7:$M$1200))</f>
        <v/>
      </c>
      <c r="K267" s="26" t="n">
        <f aca="false">COUNTIFS('Registro de Fichas'!$D$7:$D$1200,$A267,'Registro de Fichas'!$K$7:$K$1200,"Contenedores")</f>
        <v>0</v>
      </c>
      <c r="L267" s="26" t="n">
        <f aca="false">COUNTIFS('Registro de Fichas'!$D$7:$D$1200,$A267,'Registro de Fichas'!$K$7:$K$1200,"Granel solido")</f>
        <v>0</v>
      </c>
      <c r="M267" s="26" t="n">
        <f aca="false">COUNTIFS('Registro de Fichas'!$D$7:$D$1200,$A267,'Registro de Fichas'!$K$7:$K$1200,"Carga fraccionada")</f>
        <v>0</v>
      </c>
      <c r="N267" s="26" t="n">
        <f aca="false">COUNTIFS('Registro de Fichas'!$D$7:$D$1200,$A267,'Registro de Fichas'!$K$7:$K$1200,"Big bags")</f>
        <v>0</v>
      </c>
      <c r="O267" s="26" t="n">
        <f aca="false">COUNTIFS('Registro de Fichas'!$D$7:$D$1200,$A267,'Registro de Fichas'!$L$7:$L$1200,"Si")</f>
        <v>0</v>
      </c>
      <c r="P267" s="23" t="str">
        <f aca="false">IF($C267=0,"",IF($C267&lt;Parametros!$B$27,"EVIDENCIA INSUFICIENTE",IF(AND($D267&lt;&gt;"",$C267&lt;$D267*Parametros!$B$28),"BAJO % MUESTREO",IF($J267&lt;Parametros!$B$31,"POCOS EVALUADORES","VALIDA"))))</f>
        <v/>
      </c>
    </row>
    <row r="268" customFormat="false" ht="15" hidden="false" customHeight="true" outlineLevel="0" collapsed="false">
      <c r="A268" s="72"/>
      <c r="B268" s="16" t="str">
        <f aca="false">IFERROR(INDEX('Registro de Fichas'!$E$7:$E$1200,MATCH($A268,'Registro de Fichas'!$D$7:$D$1200,0)),"")</f>
        <v/>
      </c>
      <c r="C268" s="74" t="n">
        <f aca="false">COUNTIF('Registro de Fichas'!$D$7:$D$1200,$A268)</f>
        <v>0</v>
      </c>
      <c r="D268" s="72"/>
      <c r="E268" s="73" t="str">
        <f aca="false">IFERROR(AVERAGEIF('Registro de Fichas'!$D$7:$D$1200,$A268,'Registro de Fichas'!$G$7:$G$1200),"")</f>
        <v/>
      </c>
      <c r="F268" s="73" t="str">
        <f aca="false">IFERROR(AVERAGEIF('Registro de Fichas'!$D$7:$D$1200,$A268,'Registro de Fichas'!$H$7:$H$1200),"")</f>
        <v/>
      </c>
      <c r="G268" s="73" t="str">
        <f aca="false">IFERROR(AVERAGEIF('Registro de Fichas'!$D$7:$D$1200,$A268,'Registro de Fichas'!$I$7:$I$1200),"")</f>
        <v/>
      </c>
      <c r="H268" s="73" t="str">
        <f aca="false">IFERROR(AVERAGEIF('Registro de Fichas'!$D$7:$D$1200,$A268,'Registro de Fichas'!$J$7:$J$1200),"")</f>
        <v/>
      </c>
      <c r="I268" s="56" t="str">
        <f aca="false">IF($C268=0,"",IF($C268&gt;=Parametros!$B$27,"OK","FALTAN "&amp;(Parametros!$B$27-$C268)))</f>
        <v/>
      </c>
      <c r="J268" s="56" t="str">
        <f aca="false">IF($C268=0,"",SUMIF('Registro de Fichas'!$D$7:$D$1200,$A268,'Registro de Fichas'!$M$7:$M$1200))</f>
        <v/>
      </c>
      <c r="K268" s="74" t="n">
        <f aca="false">COUNTIFS('Registro de Fichas'!$D$7:$D$1200,$A268,'Registro de Fichas'!$K$7:$K$1200,"Contenedores")</f>
        <v>0</v>
      </c>
      <c r="L268" s="74" t="n">
        <f aca="false">COUNTIFS('Registro de Fichas'!$D$7:$D$1200,$A268,'Registro de Fichas'!$K$7:$K$1200,"Granel solido")</f>
        <v>0</v>
      </c>
      <c r="M268" s="74" t="n">
        <f aca="false">COUNTIFS('Registro de Fichas'!$D$7:$D$1200,$A268,'Registro de Fichas'!$K$7:$K$1200,"Carga fraccionada")</f>
        <v>0</v>
      </c>
      <c r="N268" s="74" t="n">
        <f aca="false">COUNTIFS('Registro de Fichas'!$D$7:$D$1200,$A268,'Registro de Fichas'!$K$7:$K$1200,"Big bags")</f>
        <v>0</v>
      </c>
      <c r="O268" s="74" t="n">
        <f aca="false">COUNTIFS('Registro de Fichas'!$D$7:$D$1200,$A268,'Registro de Fichas'!$L$7:$L$1200,"Si")</f>
        <v>0</v>
      </c>
      <c r="P268" s="75" t="str">
        <f aca="false">IF($C268=0,"",IF($C268&lt;Parametros!$B$27,"EVIDENCIA INSUFICIENTE",IF(AND($D268&lt;&gt;"",$C268&lt;$D268*Parametros!$B$28),"BAJO % MUESTREO",IF($J268&lt;Parametros!$B$31,"POCOS EVALUADORES","VALIDA"))))</f>
        <v/>
      </c>
    </row>
    <row r="269" customFormat="false" ht="15" hidden="false" customHeight="true" outlineLevel="0" collapsed="false">
      <c r="A269" s="72"/>
      <c r="B269" s="13" t="str">
        <f aca="false">IFERROR(INDEX('Registro de Fichas'!$E$7:$E$1200,MATCH($A269,'Registro de Fichas'!$D$7:$D$1200,0)),"")</f>
        <v/>
      </c>
      <c r="C269" s="26" t="n">
        <f aca="false">COUNTIF('Registro de Fichas'!$D$7:$D$1200,$A269)</f>
        <v>0</v>
      </c>
      <c r="D269" s="72"/>
      <c r="E269" s="73" t="str">
        <f aca="false">IFERROR(AVERAGEIF('Registro de Fichas'!$D$7:$D$1200,$A269,'Registro de Fichas'!$G$7:$G$1200),"")</f>
        <v/>
      </c>
      <c r="F269" s="73" t="str">
        <f aca="false">IFERROR(AVERAGEIF('Registro de Fichas'!$D$7:$D$1200,$A269,'Registro de Fichas'!$H$7:$H$1200),"")</f>
        <v/>
      </c>
      <c r="G269" s="73" t="str">
        <f aca="false">IFERROR(AVERAGEIF('Registro de Fichas'!$D$7:$D$1200,$A269,'Registro de Fichas'!$I$7:$I$1200),"")</f>
        <v/>
      </c>
      <c r="H269" s="73" t="str">
        <f aca="false">IFERROR(AVERAGEIF('Registro de Fichas'!$D$7:$D$1200,$A269,'Registro de Fichas'!$J$7:$J$1200),"")</f>
        <v/>
      </c>
      <c r="I269" s="38" t="str">
        <f aca="false">IF($C269=0,"",IF($C269&gt;=Parametros!$B$27,"OK","FALTAN "&amp;(Parametros!$B$27-$C269)))</f>
        <v/>
      </c>
      <c r="J269" s="38" t="str">
        <f aca="false">IF($C269=0,"",SUMIF('Registro de Fichas'!$D$7:$D$1200,$A269,'Registro de Fichas'!$M$7:$M$1200))</f>
        <v/>
      </c>
      <c r="K269" s="26" t="n">
        <f aca="false">COUNTIFS('Registro de Fichas'!$D$7:$D$1200,$A269,'Registro de Fichas'!$K$7:$K$1200,"Contenedores")</f>
        <v>0</v>
      </c>
      <c r="L269" s="26" t="n">
        <f aca="false">COUNTIFS('Registro de Fichas'!$D$7:$D$1200,$A269,'Registro de Fichas'!$K$7:$K$1200,"Granel solido")</f>
        <v>0</v>
      </c>
      <c r="M269" s="26" t="n">
        <f aca="false">COUNTIFS('Registro de Fichas'!$D$7:$D$1200,$A269,'Registro de Fichas'!$K$7:$K$1200,"Carga fraccionada")</f>
        <v>0</v>
      </c>
      <c r="N269" s="26" t="n">
        <f aca="false">COUNTIFS('Registro de Fichas'!$D$7:$D$1200,$A269,'Registro de Fichas'!$K$7:$K$1200,"Big bags")</f>
        <v>0</v>
      </c>
      <c r="O269" s="26" t="n">
        <f aca="false">COUNTIFS('Registro de Fichas'!$D$7:$D$1200,$A269,'Registro de Fichas'!$L$7:$L$1200,"Si")</f>
        <v>0</v>
      </c>
      <c r="P269" s="23" t="str">
        <f aca="false">IF($C269=0,"",IF($C269&lt;Parametros!$B$27,"EVIDENCIA INSUFICIENTE",IF(AND($D269&lt;&gt;"",$C269&lt;$D269*Parametros!$B$28),"BAJO % MUESTREO",IF($J269&lt;Parametros!$B$31,"POCOS EVALUADORES","VALIDA"))))</f>
        <v/>
      </c>
    </row>
    <row r="270" customFormat="false" ht="15" hidden="false" customHeight="true" outlineLevel="0" collapsed="false">
      <c r="A270" s="72"/>
      <c r="B270" s="16" t="str">
        <f aca="false">IFERROR(INDEX('Registro de Fichas'!$E$7:$E$1200,MATCH($A270,'Registro de Fichas'!$D$7:$D$1200,0)),"")</f>
        <v/>
      </c>
      <c r="C270" s="74" t="n">
        <f aca="false">COUNTIF('Registro de Fichas'!$D$7:$D$1200,$A270)</f>
        <v>0</v>
      </c>
      <c r="D270" s="72"/>
      <c r="E270" s="73" t="str">
        <f aca="false">IFERROR(AVERAGEIF('Registro de Fichas'!$D$7:$D$1200,$A270,'Registro de Fichas'!$G$7:$G$1200),"")</f>
        <v/>
      </c>
      <c r="F270" s="73" t="str">
        <f aca="false">IFERROR(AVERAGEIF('Registro de Fichas'!$D$7:$D$1200,$A270,'Registro de Fichas'!$H$7:$H$1200),"")</f>
        <v/>
      </c>
      <c r="G270" s="73" t="str">
        <f aca="false">IFERROR(AVERAGEIF('Registro de Fichas'!$D$7:$D$1200,$A270,'Registro de Fichas'!$I$7:$I$1200),"")</f>
        <v/>
      </c>
      <c r="H270" s="73" t="str">
        <f aca="false">IFERROR(AVERAGEIF('Registro de Fichas'!$D$7:$D$1200,$A270,'Registro de Fichas'!$J$7:$J$1200),"")</f>
        <v/>
      </c>
      <c r="I270" s="56" t="str">
        <f aca="false">IF($C270=0,"",IF($C270&gt;=Parametros!$B$27,"OK","FALTAN "&amp;(Parametros!$B$27-$C270)))</f>
        <v/>
      </c>
      <c r="J270" s="56" t="str">
        <f aca="false">IF($C270=0,"",SUMIF('Registro de Fichas'!$D$7:$D$1200,$A270,'Registro de Fichas'!$M$7:$M$1200))</f>
        <v/>
      </c>
      <c r="K270" s="74" t="n">
        <f aca="false">COUNTIFS('Registro de Fichas'!$D$7:$D$1200,$A270,'Registro de Fichas'!$K$7:$K$1200,"Contenedores")</f>
        <v>0</v>
      </c>
      <c r="L270" s="74" t="n">
        <f aca="false">COUNTIFS('Registro de Fichas'!$D$7:$D$1200,$A270,'Registro de Fichas'!$K$7:$K$1200,"Granel solido")</f>
        <v>0</v>
      </c>
      <c r="M270" s="74" t="n">
        <f aca="false">COUNTIFS('Registro de Fichas'!$D$7:$D$1200,$A270,'Registro de Fichas'!$K$7:$K$1200,"Carga fraccionada")</f>
        <v>0</v>
      </c>
      <c r="N270" s="74" t="n">
        <f aca="false">COUNTIFS('Registro de Fichas'!$D$7:$D$1200,$A270,'Registro de Fichas'!$K$7:$K$1200,"Big bags")</f>
        <v>0</v>
      </c>
      <c r="O270" s="74" t="n">
        <f aca="false">COUNTIFS('Registro de Fichas'!$D$7:$D$1200,$A270,'Registro de Fichas'!$L$7:$L$1200,"Si")</f>
        <v>0</v>
      </c>
      <c r="P270" s="75" t="str">
        <f aca="false">IF($C270=0,"",IF($C270&lt;Parametros!$B$27,"EVIDENCIA INSUFICIENTE",IF(AND($D270&lt;&gt;"",$C270&lt;$D270*Parametros!$B$28),"BAJO % MUESTREO",IF($J270&lt;Parametros!$B$31,"POCOS EVALUADORES","VALIDA"))))</f>
        <v/>
      </c>
    </row>
    <row r="271" customFormat="false" ht="15" hidden="false" customHeight="true" outlineLevel="0" collapsed="false">
      <c r="A271" s="72"/>
      <c r="B271" s="13" t="str">
        <f aca="false">IFERROR(INDEX('Registro de Fichas'!$E$7:$E$1200,MATCH($A271,'Registro de Fichas'!$D$7:$D$1200,0)),"")</f>
        <v/>
      </c>
      <c r="C271" s="26" t="n">
        <f aca="false">COUNTIF('Registro de Fichas'!$D$7:$D$1200,$A271)</f>
        <v>0</v>
      </c>
      <c r="D271" s="72"/>
      <c r="E271" s="73" t="str">
        <f aca="false">IFERROR(AVERAGEIF('Registro de Fichas'!$D$7:$D$1200,$A271,'Registro de Fichas'!$G$7:$G$1200),"")</f>
        <v/>
      </c>
      <c r="F271" s="73" t="str">
        <f aca="false">IFERROR(AVERAGEIF('Registro de Fichas'!$D$7:$D$1200,$A271,'Registro de Fichas'!$H$7:$H$1200),"")</f>
        <v/>
      </c>
      <c r="G271" s="73" t="str">
        <f aca="false">IFERROR(AVERAGEIF('Registro de Fichas'!$D$7:$D$1200,$A271,'Registro de Fichas'!$I$7:$I$1200),"")</f>
        <v/>
      </c>
      <c r="H271" s="73" t="str">
        <f aca="false">IFERROR(AVERAGEIF('Registro de Fichas'!$D$7:$D$1200,$A271,'Registro de Fichas'!$J$7:$J$1200),"")</f>
        <v/>
      </c>
      <c r="I271" s="38" t="str">
        <f aca="false">IF($C271=0,"",IF($C271&gt;=Parametros!$B$27,"OK","FALTAN "&amp;(Parametros!$B$27-$C271)))</f>
        <v/>
      </c>
      <c r="J271" s="38" t="str">
        <f aca="false">IF($C271=0,"",SUMIF('Registro de Fichas'!$D$7:$D$1200,$A271,'Registro de Fichas'!$M$7:$M$1200))</f>
        <v/>
      </c>
      <c r="K271" s="26" t="n">
        <f aca="false">COUNTIFS('Registro de Fichas'!$D$7:$D$1200,$A271,'Registro de Fichas'!$K$7:$K$1200,"Contenedores")</f>
        <v>0</v>
      </c>
      <c r="L271" s="26" t="n">
        <f aca="false">COUNTIFS('Registro de Fichas'!$D$7:$D$1200,$A271,'Registro de Fichas'!$K$7:$K$1200,"Granel solido")</f>
        <v>0</v>
      </c>
      <c r="M271" s="26" t="n">
        <f aca="false">COUNTIFS('Registro de Fichas'!$D$7:$D$1200,$A271,'Registro de Fichas'!$K$7:$K$1200,"Carga fraccionada")</f>
        <v>0</v>
      </c>
      <c r="N271" s="26" t="n">
        <f aca="false">COUNTIFS('Registro de Fichas'!$D$7:$D$1200,$A271,'Registro de Fichas'!$K$7:$K$1200,"Big bags")</f>
        <v>0</v>
      </c>
      <c r="O271" s="26" t="n">
        <f aca="false">COUNTIFS('Registro de Fichas'!$D$7:$D$1200,$A271,'Registro de Fichas'!$L$7:$L$1200,"Si")</f>
        <v>0</v>
      </c>
      <c r="P271" s="23" t="str">
        <f aca="false">IF($C271=0,"",IF($C271&lt;Parametros!$B$27,"EVIDENCIA INSUFICIENTE",IF(AND($D271&lt;&gt;"",$C271&lt;$D271*Parametros!$B$28),"BAJO % MUESTREO",IF($J271&lt;Parametros!$B$31,"POCOS EVALUADORES","VALIDA"))))</f>
        <v/>
      </c>
    </row>
    <row r="272" customFormat="false" ht="15" hidden="false" customHeight="true" outlineLevel="0" collapsed="false">
      <c r="A272" s="72"/>
      <c r="B272" s="16" t="str">
        <f aca="false">IFERROR(INDEX('Registro de Fichas'!$E$7:$E$1200,MATCH($A272,'Registro de Fichas'!$D$7:$D$1200,0)),"")</f>
        <v/>
      </c>
      <c r="C272" s="74" t="n">
        <f aca="false">COUNTIF('Registro de Fichas'!$D$7:$D$1200,$A272)</f>
        <v>0</v>
      </c>
      <c r="D272" s="72"/>
      <c r="E272" s="73" t="str">
        <f aca="false">IFERROR(AVERAGEIF('Registro de Fichas'!$D$7:$D$1200,$A272,'Registro de Fichas'!$G$7:$G$1200),"")</f>
        <v/>
      </c>
      <c r="F272" s="73" t="str">
        <f aca="false">IFERROR(AVERAGEIF('Registro de Fichas'!$D$7:$D$1200,$A272,'Registro de Fichas'!$H$7:$H$1200),"")</f>
        <v/>
      </c>
      <c r="G272" s="73" t="str">
        <f aca="false">IFERROR(AVERAGEIF('Registro de Fichas'!$D$7:$D$1200,$A272,'Registro de Fichas'!$I$7:$I$1200),"")</f>
        <v/>
      </c>
      <c r="H272" s="73" t="str">
        <f aca="false">IFERROR(AVERAGEIF('Registro de Fichas'!$D$7:$D$1200,$A272,'Registro de Fichas'!$J$7:$J$1200),"")</f>
        <v/>
      </c>
      <c r="I272" s="56" t="str">
        <f aca="false">IF($C272=0,"",IF($C272&gt;=Parametros!$B$27,"OK","FALTAN "&amp;(Parametros!$B$27-$C272)))</f>
        <v/>
      </c>
      <c r="J272" s="56" t="str">
        <f aca="false">IF($C272=0,"",SUMIF('Registro de Fichas'!$D$7:$D$1200,$A272,'Registro de Fichas'!$M$7:$M$1200))</f>
        <v/>
      </c>
      <c r="K272" s="74" t="n">
        <f aca="false">COUNTIFS('Registro de Fichas'!$D$7:$D$1200,$A272,'Registro de Fichas'!$K$7:$K$1200,"Contenedores")</f>
        <v>0</v>
      </c>
      <c r="L272" s="74" t="n">
        <f aca="false">COUNTIFS('Registro de Fichas'!$D$7:$D$1200,$A272,'Registro de Fichas'!$K$7:$K$1200,"Granel solido")</f>
        <v>0</v>
      </c>
      <c r="M272" s="74" t="n">
        <f aca="false">COUNTIFS('Registro de Fichas'!$D$7:$D$1200,$A272,'Registro de Fichas'!$K$7:$K$1200,"Carga fraccionada")</f>
        <v>0</v>
      </c>
      <c r="N272" s="74" t="n">
        <f aca="false">COUNTIFS('Registro de Fichas'!$D$7:$D$1200,$A272,'Registro de Fichas'!$K$7:$K$1200,"Big bags")</f>
        <v>0</v>
      </c>
      <c r="O272" s="74" t="n">
        <f aca="false">COUNTIFS('Registro de Fichas'!$D$7:$D$1200,$A272,'Registro de Fichas'!$L$7:$L$1200,"Si")</f>
        <v>0</v>
      </c>
      <c r="P272" s="75" t="str">
        <f aca="false">IF($C272=0,"",IF($C272&lt;Parametros!$B$27,"EVIDENCIA INSUFICIENTE",IF(AND($D272&lt;&gt;"",$C272&lt;$D272*Parametros!$B$28),"BAJO % MUESTREO",IF($J272&lt;Parametros!$B$31,"POCOS EVALUADORES","VALIDA"))))</f>
        <v/>
      </c>
    </row>
    <row r="273" customFormat="false" ht="15" hidden="false" customHeight="true" outlineLevel="0" collapsed="false">
      <c r="A273" s="72"/>
      <c r="B273" s="13" t="str">
        <f aca="false">IFERROR(INDEX('Registro de Fichas'!$E$7:$E$1200,MATCH($A273,'Registro de Fichas'!$D$7:$D$1200,0)),"")</f>
        <v/>
      </c>
      <c r="C273" s="26" t="n">
        <f aca="false">COUNTIF('Registro de Fichas'!$D$7:$D$1200,$A273)</f>
        <v>0</v>
      </c>
      <c r="D273" s="72"/>
      <c r="E273" s="73" t="str">
        <f aca="false">IFERROR(AVERAGEIF('Registro de Fichas'!$D$7:$D$1200,$A273,'Registro de Fichas'!$G$7:$G$1200),"")</f>
        <v/>
      </c>
      <c r="F273" s="73" t="str">
        <f aca="false">IFERROR(AVERAGEIF('Registro de Fichas'!$D$7:$D$1200,$A273,'Registro de Fichas'!$H$7:$H$1200),"")</f>
        <v/>
      </c>
      <c r="G273" s="73" t="str">
        <f aca="false">IFERROR(AVERAGEIF('Registro de Fichas'!$D$7:$D$1200,$A273,'Registro de Fichas'!$I$7:$I$1200),"")</f>
        <v/>
      </c>
      <c r="H273" s="73" t="str">
        <f aca="false">IFERROR(AVERAGEIF('Registro de Fichas'!$D$7:$D$1200,$A273,'Registro de Fichas'!$J$7:$J$1200),"")</f>
        <v/>
      </c>
      <c r="I273" s="38" t="str">
        <f aca="false">IF($C273=0,"",IF($C273&gt;=Parametros!$B$27,"OK","FALTAN "&amp;(Parametros!$B$27-$C273)))</f>
        <v/>
      </c>
      <c r="J273" s="38" t="str">
        <f aca="false">IF($C273=0,"",SUMIF('Registro de Fichas'!$D$7:$D$1200,$A273,'Registro de Fichas'!$M$7:$M$1200))</f>
        <v/>
      </c>
      <c r="K273" s="26" t="n">
        <f aca="false">COUNTIFS('Registro de Fichas'!$D$7:$D$1200,$A273,'Registro de Fichas'!$K$7:$K$1200,"Contenedores")</f>
        <v>0</v>
      </c>
      <c r="L273" s="26" t="n">
        <f aca="false">COUNTIFS('Registro de Fichas'!$D$7:$D$1200,$A273,'Registro de Fichas'!$K$7:$K$1200,"Granel solido")</f>
        <v>0</v>
      </c>
      <c r="M273" s="26" t="n">
        <f aca="false">COUNTIFS('Registro de Fichas'!$D$7:$D$1200,$A273,'Registro de Fichas'!$K$7:$K$1200,"Carga fraccionada")</f>
        <v>0</v>
      </c>
      <c r="N273" s="26" t="n">
        <f aca="false">COUNTIFS('Registro de Fichas'!$D$7:$D$1200,$A273,'Registro de Fichas'!$K$7:$K$1200,"Big bags")</f>
        <v>0</v>
      </c>
      <c r="O273" s="26" t="n">
        <f aca="false">COUNTIFS('Registro de Fichas'!$D$7:$D$1200,$A273,'Registro de Fichas'!$L$7:$L$1200,"Si")</f>
        <v>0</v>
      </c>
      <c r="P273" s="23" t="str">
        <f aca="false">IF($C273=0,"",IF($C273&lt;Parametros!$B$27,"EVIDENCIA INSUFICIENTE",IF(AND($D273&lt;&gt;"",$C273&lt;$D273*Parametros!$B$28),"BAJO % MUESTREO",IF($J273&lt;Parametros!$B$31,"POCOS EVALUADORES","VALIDA"))))</f>
        <v/>
      </c>
    </row>
    <row r="274" customFormat="false" ht="15" hidden="false" customHeight="true" outlineLevel="0" collapsed="false">
      <c r="A274" s="72"/>
      <c r="B274" s="16" t="str">
        <f aca="false">IFERROR(INDEX('Registro de Fichas'!$E$7:$E$1200,MATCH($A274,'Registro de Fichas'!$D$7:$D$1200,0)),"")</f>
        <v/>
      </c>
      <c r="C274" s="74" t="n">
        <f aca="false">COUNTIF('Registro de Fichas'!$D$7:$D$1200,$A274)</f>
        <v>0</v>
      </c>
      <c r="D274" s="72"/>
      <c r="E274" s="73" t="str">
        <f aca="false">IFERROR(AVERAGEIF('Registro de Fichas'!$D$7:$D$1200,$A274,'Registro de Fichas'!$G$7:$G$1200),"")</f>
        <v/>
      </c>
      <c r="F274" s="73" t="str">
        <f aca="false">IFERROR(AVERAGEIF('Registro de Fichas'!$D$7:$D$1200,$A274,'Registro de Fichas'!$H$7:$H$1200),"")</f>
        <v/>
      </c>
      <c r="G274" s="73" t="str">
        <f aca="false">IFERROR(AVERAGEIF('Registro de Fichas'!$D$7:$D$1200,$A274,'Registro de Fichas'!$I$7:$I$1200),"")</f>
        <v/>
      </c>
      <c r="H274" s="73" t="str">
        <f aca="false">IFERROR(AVERAGEIF('Registro de Fichas'!$D$7:$D$1200,$A274,'Registro de Fichas'!$J$7:$J$1200),"")</f>
        <v/>
      </c>
      <c r="I274" s="56" t="str">
        <f aca="false">IF($C274=0,"",IF($C274&gt;=Parametros!$B$27,"OK","FALTAN "&amp;(Parametros!$B$27-$C274)))</f>
        <v/>
      </c>
      <c r="J274" s="56" t="str">
        <f aca="false">IF($C274=0,"",SUMIF('Registro de Fichas'!$D$7:$D$1200,$A274,'Registro de Fichas'!$M$7:$M$1200))</f>
        <v/>
      </c>
      <c r="K274" s="74" t="n">
        <f aca="false">COUNTIFS('Registro de Fichas'!$D$7:$D$1200,$A274,'Registro de Fichas'!$K$7:$K$1200,"Contenedores")</f>
        <v>0</v>
      </c>
      <c r="L274" s="74" t="n">
        <f aca="false">COUNTIFS('Registro de Fichas'!$D$7:$D$1200,$A274,'Registro de Fichas'!$K$7:$K$1200,"Granel solido")</f>
        <v>0</v>
      </c>
      <c r="M274" s="74" t="n">
        <f aca="false">COUNTIFS('Registro de Fichas'!$D$7:$D$1200,$A274,'Registro de Fichas'!$K$7:$K$1200,"Carga fraccionada")</f>
        <v>0</v>
      </c>
      <c r="N274" s="74" t="n">
        <f aca="false">COUNTIFS('Registro de Fichas'!$D$7:$D$1200,$A274,'Registro de Fichas'!$K$7:$K$1200,"Big bags")</f>
        <v>0</v>
      </c>
      <c r="O274" s="74" t="n">
        <f aca="false">COUNTIFS('Registro de Fichas'!$D$7:$D$1200,$A274,'Registro de Fichas'!$L$7:$L$1200,"Si")</f>
        <v>0</v>
      </c>
      <c r="P274" s="75" t="str">
        <f aca="false">IF($C274=0,"",IF($C274&lt;Parametros!$B$27,"EVIDENCIA INSUFICIENTE",IF(AND($D274&lt;&gt;"",$C274&lt;$D274*Parametros!$B$28),"BAJO % MUESTREO",IF($J274&lt;Parametros!$B$31,"POCOS EVALUADORES","VALIDA"))))</f>
        <v/>
      </c>
    </row>
    <row r="275" customFormat="false" ht="15" hidden="false" customHeight="true" outlineLevel="0" collapsed="false">
      <c r="A275" s="72"/>
      <c r="B275" s="13" t="str">
        <f aca="false">IFERROR(INDEX('Registro de Fichas'!$E$7:$E$1200,MATCH($A275,'Registro de Fichas'!$D$7:$D$1200,0)),"")</f>
        <v/>
      </c>
      <c r="C275" s="26" t="n">
        <f aca="false">COUNTIF('Registro de Fichas'!$D$7:$D$1200,$A275)</f>
        <v>0</v>
      </c>
      <c r="D275" s="72"/>
      <c r="E275" s="73" t="str">
        <f aca="false">IFERROR(AVERAGEIF('Registro de Fichas'!$D$7:$D$1200,$A275,'Registro de Fichas'!$G$7:$G$1200),"")</f>
        <v/>
      </c>
      <c r="F275" s="73" t="str">
        <f aca="false">IFERROR(AVERAGEIF('Registro de Fichas'!$D$7:$D$1200,$A275,'Registro de Fichas'!$H$7:$H$1200),"")</f>
        <v/>
      </c>
      <c r="G275" s="73" t="str">
        <f aca="false">IFERROR(AVERAGEIF('Registro de Fichas'!$D$7:$D$1200,$A275,'Registro de Fichas'!$I$7:$I$1200),"")</f>
        <v/>
      </c>
      <c r="H275" s="73" t="str">
        <f aca="false">IFERROR(AVERAGEIF('Registro de Fichas'!$D$7:$D$1200,$A275,'Registro de Fichas'!$J$7:$J$1200),"")</f>
        <v/>
      </c>
      <c r="I275" s="38" t="str">
        <f aca="false">IF($C275=0,"",IF($C275&gt;=Parametros!$B$27,"OK","FALTAN "&amp;(Parametros!$B$27-$C275)))</f>
        <v/>
      </c>
      <c r="J275" s="38" t="str">
        <f aca="false">IF($C275=0,"",SUMIF('Registro de Fichas'!$D$7:$D$1200,$A275,'Registro de Fichas'!$M$7:$M$1200))</f>
        <v/>
      </c>
      <c r="K275" s="26" t="n">
        <f aca="false">COUNTIFS('Registro de Fichas'!$D$7:$D$1200,$A275,'Registro de Fichas'!$K$7:$K$1200,"Contenedores")</f>
        <v>0</v>
      </c>
      <c r="L275" s="26" t="n">
        <f aca="false">COUNTIFS('Registro de Fichas'!$D$7:$D$1200,$A275,'Registro de Fichas'!$K$7:$K$1200,"Granel solido")</f>
        <v>0</v>
      </c>
      <c r="M275" s="26" t="n">
        <f aca="false">COUNTIFS('Registro de Fichas'!$D$7:$D$1200,$A275,'Registro de Fichas'!$K$7:$K$1200,"Carga fraccionada")</f>
        <v>0</v>
      </c>
      <c r="N275" s="26" t="n">
        <f aca="false">COUNTIFS('Registro de Fichas'!$D$7:$D$1200,$A275,'Registro de Fichas'!$K$7:$K$1200,"Big bags")</f>
        <v>0</v>
      </c>
      <c r="O275" s="26" t="n">
        <f aca="false">COUNTIFS('Registro de Fichas'!$D$7:$D$1200,$A275,'Registro de Fichas'!$L$7:$L$1200,"Si")</f>
        <v>0</v>
      </c>
      <c r="P275" s="23" t="str">
        <f aca="false">IF($C275=0,"",IF($C275&lt;Parametros!$B$27,"EVIDENCIA INSUFICIENTE",IF(AND($D275&lt;&gt;"",$C275&lt;$D275*Parametros!$B$28),"BAJO % MUESTREO",IF($J275&lt;Parametros!$B$31,"POCOS EVALUADORES","VALIDA"))))</f>
        <v/>
      </c>
    </row>
    <row r="276" customFormat="false" ht="15" hidden="false" customHeight="true" outlineLevel="0" collapsed="false">
      <c r="A276" s="72"/>
      <c r="B276" s="16" t="str">
        <f aca="false">IFERROR(INDEX('Registro de Fichas'!$E$7:$E$1200,MATCH($A276,'Registro de Fichas'!$D$7:$D$1200,0)),"")</f>
        <v/>
      </c>
      <c r="C276" s="74" t="n">
        <f aca="false">COUNTIF('Registro de Fichas'!$D$7:$D$1200,$A276)</f>
        <v>0</v>
      </c>
      <c r="D276" s="72"/>
      <c r="E276" s="73" t="str">
        <f aca="false">IFERROR(AVERAGEIF('Registro de Fichas'!$D$7:$D$1200,$A276,'Registro de Fichas'!$G$7:$G$1200),"")</f>
        <v/>
      </c>
      <c r="F276" s="73" t="str">
        <f aca="false">IFERROR(AVERAGEIF('Registro de Fichas'!$D$7:$D$1200,$A276,'Registro de Fichas'!$H$7:$H$1200),"")</f>
        <v/>
      </c>
      <c r="G276" s="73" t="str">
        <f aca="false">IFERROR(AVERAGEIF('Registro de Fichas'!$D$7:$D$1200,$A276,'Registro de Fichas'!$I$7:$I$1200),"")</f>
        <v/>
      </c>
      <c r="H276" s="73" t="str">
        <f aca="false">IFERROR(AVERAGEIF('Registro de Fichas'!$D$7:$D$1200,$A276,'Registro de Fichas'!$J$7:$J$1200),"")</f>
        <v/>
      </c>
      <c r="I276" s="56" t="str">
        <f aca="false">IF($C276=0,"",IF($C276&gt;=Parametros!$B$27,"OK","FALTAN "&amp;(Parametros!$B$27-$C276)))</f>
        <v/>
      </c>
      <c r="J276" s="56" t="str">
        <f aca="false">IF($C276=0,"",SUMIF('Registro de Fichas'!$D$7:$D$1200,$A276,'Registro de Fichas'!$M$7:$M$1200))</f>
        <v/>
      </c>
      <c r="K276" s="74" t="n">
        <f aca="false">COUNTIFS('Registro de Fichas'!$D$7:$D$1200,$A276,'Registro de Fichas'!$K$7:$K$1200,"Contenedores")</f>
        <v>0</v>
      </c>
      <c r="L276" s="74" t="n">
        <f aca="false">COUNTIFS('Registro de Fichas'!$D$7:$D$1200,$A276,'Registro de Fichas'!$K$7:$K$1200,"Granel solido")</f>
        <v>0</v>
      </c>
      <c r="M276" s="74" t="n">
        <f aca="false">COUNTIFS('Registro de Fichas'!$D$7:$D$1200,$A276,'Registro de Fichas'!$K$7:$K$1200,"Carga fraccionada")</f>
        <v>0</v>
      </c>
      <c r="N276" s="74" t="n">
        <f aca="false">COUNTIFS('Registro de Fichas'!$D$7:$D$1200,$A276,'Registro de Fichas'!$K$7:$K$1200,"Big bags")</f>
        <v>0</v>
      </c>
      <c r="O276" s="74" t="n">
        <f aca="false">COUNTIFS('Registro de Fichas'!$D$7:$D$1200,$A276,'Registro de Fichas'!$L$7:$L$1200,"Si")</f>
        <v>0</v>
      </c>
      <c r="P276" s="75" t="str">
        <f aca="false">IF($C276=0,"",IF($C276&lt;Parametros!$B$27,"EVIDENCIA INSUFICIENTE",IF(AND($D276&lt;&gt;"",$C276&lt;$D276*Parametros!$B$28),"BAJO % MUESTREO",IF($J276&lt;Parametros!$B$31,"POCOS EVALUADORES","VALIDA"))))</f>
        <v/>
      </c>
    </row>
    <row r="277" customFormat="false" ht="15" hidden="false" customHeight="true" outlineLevel="0" collapsed="false">
      <c r="A277" s="72"/>
      <c r="B277" s="13" t="str">
        <f aca="false">IFERROR(INDEX('Registro de Fichas'!$E$7:$E$1200,MATCH($A277,'Registro de Fichas'!$D$7:$D$1200,0)),"")</f>
        <v/>
      </c>
      <c r="C277" s="26" t="n">
        <f aca="false">COUNTIF('Registro de Fichas'!$D$7:$D$1200,$A277)</f>
        <v>0</v>
      </c>
      <c r="D277" s="72"/>
      <c r="E277" s="73" t="str">
        <f aca="false">IFERROR(AVERAGEIF('Registro de Fichas'!$D$7:$D$1200,$A277,'Registro de Fichas'!$G$7:$G$1200),"")</f>
        <v/>
      </c>
      <c r="F277" s="73" t="str">
        <f aca="false">IFERROR(AVERAGEIF('Registro de Fichas'!$D$7:$D$1200,$A277,'Registro de Fichas'!$H$7:$H$1200),"")</f>
        <v/>
      </c>
      <c r="G277" s="73" t="str">
        <f aca="false">IFERROR(AVERAGEIF('Registro de Fichas'!$D$7:$D$1200,$A277,'Registro de Fichas'!$I$7:$I$1200),"")</f>
        <v/>
      </c>
      <c r="H277" s="73" t="str">
        <f aca="false">IFERROR(AVERAGEIF('Registro de Fichas'!$D$7:$D$1200,$A277,'Registro de Fichas'!$J$7:$J$1200),"")</f>
        <v/>
      </c>
      <c r="I277" s="38" t="str">
        <f aca="false">IF($C277=0,"",IF($C277&gt;=Parametros!$B$27,"OK","FALTAN "&amp;(Parametros!$B$27-$C277)))</f>
        <v/>
      </c>
      <c r="J277" s="38" t="str">
        <f aca="false">IF($C277=0,"",SUMIF('Registro de Fichas'!$D$7:$D$1200,$A277,'Registro de Fichas'!$M$7:$M$1200))</f>
        <v/>
      </c>
      <c r="K277" s="26" t="n">
        <f aca="false">COUNTIFS('Registro de Fichas'!$D$7:$D$1200,$A277,'Registro de Fichas'!$K$7:$K$1200,"Contenedores")</f>
        <v>0</v>
      </c>
      <c r="L277" s="26" t="n">
        <f aca="false">COUNTIFS('Registro de Fichas'!$D$7:$D$1200,$A277,'Registro de Fichas'!$K$7:$K$1200,"Granel solido")</f>
        <v>0</v>
      </c>
      <c r="M277" s="26" t="n">
        <f aca="false">COUNTIFS('Registro de Fichas'!$D$7:$D$1200,$A277,'Registro de Fichas'!$K$7:$K$1200,"Carga fraccionada")</f>
        <v>0</v>
      </c>
      <c r="N277" s="26" t="n">
        <f aca="false">COUNTIFS('Registro de Fichas'!$D$7:$D$1200,$A277,'Registro de Fichas'!$K$7:$K$1200,"Big bags")</f>
        <v>0</v>
      </c>
      <c r="O277" s="26" t="n">
        <f aca="false">COUNTIFS('Registro de Fichas'!$D$7:$D$1200,$A277,'Registro de Fichas'!$L$7:$L$1200,"Si")</f>
        <v>0</v>
      </c>
      <c r="P277" s="23" t="str">
        <f aca="false">IF($C277=0,"",IF($C277&lt;Parametros!$B$27,"EVIDENCIA INSUFICIENTE",IF(AND($D277&lt;&gt;"",$C277&lt;$D277*Parametros!$B$28),"BAJO % MUESTREO",IF($J277&lt;Parametros!$B$31,"POCOS EVALUADORES","VALIDA"))))</f>
        <v/>
      </c>
    </row>
    <row r="278" customFormat="false" ht="15" hidden="false" customHeight="true" outlineLevel="0" collapsed="false">
      <c r="A278" s="72"/>
      <c r="B278" s="16" t="str">
        <f aca="false">IFERROR(INDEX('Registro de Fichas'!$E$7:$E$1200,MATCH($A278,'Registro de Fichas'!$D$7:$D$1200,0)),"")</f>
        <v/>
      </c>
      <c r="C278" s="74" t="n">
        <f aca="false">COUNTIF('Registro de Fichas'!$D$7:$D$1200,$A278)</f>
        <v>0</v>
      </c>
      <c r="D278" s="72"/>
      <c r="E278" s="73" t="str">
        <f aca="false">IFERROR(AVERAGEIF('Registro de Fichas'!$D$7:$D$1200,$A278,'Registro de Fichas'!$G$7:$G$1200),"")</f>
        <v/>
      </c>
      <c r="F278" s="73" t="str">
        <f aca="false">IFERROR(AVERAGEIF('Registro de Fichas'!$D$7:$D$1200,$A278,'Registro de Fichas'!$H$7:$H$1200),"")</f>
        <v/>
      </c>
      <c r="G278" s="73" t="str">
        <f aca="false">IFERROR(AVERAGEIF('Registro de Fichas'!$D$7:$D$1200,$A278,'Registro de Fichas'!$I$7:$I$1200),"")</f>
        <v/>
      </c>
      <c r="H278" s="73" t="str">
        <f aca="false">IFERROR(AVERAGEIF('Registro de Fichas'!$D$7:$D$1200,$A278,'Registro de Fichas'!$J$7:$J$1200),"")</f>
        <v/>
      </c>
      <c r="I278" s="56" t="str">
        <f aca="false">IF($C278=0,"",IF($C278&gt;=Parametros!$B$27,"OK","FALTAN "&amp;(Parametros!$B$27-$C278)))</f>
        <v/>
      </c>
      <c r="J278" s="56" t="str">
        <f aca="false">IF($C278=0,"",SUMIF('Registro de Fichas'!$D$7:$D$1200,$A278,'Registro de Fichas'!$M$7:$M$1200))</f>
        <v/>
      </c>
      <c r="K278" s="74" t="n">
        <f aca="false">COUNTIFS('Registro de Fichas'!$D$7:$D$1200,$A278,'Registro de Fichas'!$K$7:$K$1200,"Contenedores")</f>
        <v>0</v>
      </c>
      <c r="L278" s="74" t="n">
        <f aca="false">COUNTIFS('Registro de Fichas'!$D$7:$D$1200,$A278,'Registro de Fichas'!$K$7:$K$1200,"Granel solido")</f>
        <v>0</v>
      </c>
      <c r="M278" s="74" t="n">
        <f aca="false">COUNTIFS('Registro de Fichas'!$D$7:$D$1200,$A278,'Registro de Fichas'!$K$7:$K$1200,"Carga fraccionada")</f>
        <v>0</v>
      </c>
      <c r="N278" s="74" t="n">
        <f aca="false">COUNTIFS('Registro de Fichas'!$D$7:$D$1200,$A278,'Registro de Fichas'!$K$7:$K$1200,"Big bags")</f>
        <v>0</v>
      </c>
      <c r="O278" s="74" t="n">
        <f aca="false">COUNTIFS('Registro de Fichas'!$D$7:$D$1200,$A278,'Registro de Fichas'!$L$7:$L$1200,"Si")</f>
        <v>0</v>
      </c>
      <c r="P278" s="75" t="str">
        <f aca="false">IF($C278=0,"",IF($C278&lt;Parametros!$B$27,"EVIDENCIA INSUFICIENTE",IF(AND($D278&lt;&gt;"",$C278&lt;$D278*Parametros!$B$28),"BAJO % MUESTREO",IF($J278&lt;Parametros!$B$31,"POCOS EVALUADORES","VALIDA"))))</f>
        <v/>
      </c>
    </row>
    <row r="279" customFormat="false" ht="15" hidden="false" customHeight="true" outlineLevel="0" collapsed="false">
      <c r="A279" s="72"/>
      <c r="B279" s="13" t="str">
        <f aca="false">IFERROR(INDEX('Registro de Fichas'!$E$7:$E$1200,MATCH($A279,'Registro de Fichas'!$D$7:$D$1200,0)),"")</f>
        <v/>
      </c>
      <c r="C279" s="26" t="n">
        <f aca="false">COUNTIF('Registro de Fichas'!$D$7:$D$1200,$A279)</f>
        <v>0</v>
      </c>
      <c r="D279" s="72"/>
      <c r="E279" s="73" t="str">
        <f aca="false">IFERROR(AVERAGEIF('Registro de Fichas'!$D$7:$D$1200,$A279,'Registro de Fichas'!$G$7:$G$1200),"")</f>
        <v/>
      </c>
      <c r="F279" s="73" t="str">
        <f aca="false">IFERROR(AVERAGEIF('Registro de Fichas'!$D$7:$D$1200,$A279,'Registro de Fichas'!$H$7:$H$1200),"")</f>
        <v/>
      </c>
      <c r="G279" s="73" t="str">
        <f aca="false">IFERROR(AVERAGEIF('Registro de Fichas'!$D$7:$D$1200,$A279,'Registro de Fichas'!$I$7:$I$1200),"")</f>
        <v/>
      </c>
      <c r="H279" s="73" t="str">
        <f aca="false">IFERROR(AVERAGEIF('Registro de Fichas'!$D$7:$D$1200,$A279,'Registro de Fichas'!$J$7:$J$1200),"")</f>
        <v/>
      </c>
      <c r="I279" s="38" t="str">
        <f aca="false">IF($C279=0,"",IF($C279&gt;=Parametros!$B$27,"OK","FALTAN "&amp;(Parametros!$B$27-$C279)))</f>
        <v/>
      </c>
      <c r="J279" s="38" t="str">
        <f aca="false">IF($C279=0,"",SUMIF('Registro de Fichas'!$D$7:$D$1200,$A279,'Registro de Fichas'!$M$7:$M$1200))</f>
        <v/>
      </c>
      <c r="K279" s="26" t="n">
        <f aca="false">COUNTIFS('Registro de Fichas'!$D$7:$D$1200,$A279,'Registro de Fichas'!$K$7:$K$1200,"Contenedores")</f>
        <v>0</v>
      </c>
      <c r="L279" s="26" t="n">
        <f aca="false">COUNTIFS('Registro de Fichas'!$D$7:$D$1200,$A279,'Registro de Fichas'!$K$7:$K$1200,"Granel solido")</f>
        <v>0</v>
      </c>
      <c r="M279" s="26" t="n">
        <f aca="false">COUNTIFS('Registro de Fichas'!$D$7:$D$1200,$A279,'Registro de Fichas'!$K$7:$K$1200,"Carga fraccionada")</f>
        <v>0</v>
      </c>
      <c r="N279" s="26" t="n">
        <f aca="false">COUNTIFS('Registro de Fichas'!$D$7:$D$1200,$A279,'Registro de Fichas'!$K$7:$K$1200,"Big bags")</f>
        <v>0</v>
      </c>
      <c r="O279" s="26" t="n">
        <f aca="false">COUNTIFS('Registro de Fichas'!$D$7:$D$1200,$A279,'Registro de Fichas'!$L$7:$L$1200,"Si")</f>
        <v>0</v>
      </c>
      <c r="P279" s="23" t="str">
        <f aca="false">IF($C279=0,"",IF($C279&lt;Parametros!$B$27,"EVIDENCIA INSUFICIENTE",IF(AND($D279&lt;&gt;"",$C279&lt;$D279*Parametros!$B$28),"BAJO % MUESTREO",IF($J279&lt;Parametros!$B$31,"POCOS EVALUADORES","VALIDA"))))</f>
        <v/>
      </c>
    </row>
    <row r="280" customFormat="false" ht="15" hidden="false" customHeight="true" outlineLevel="0" collapsed="false">
      <c r="A280" s="72"/>
      <c r="B280" s="16" t="str">
        <f aca="false">IFERROR(INDEX('Registro de Fichas'!$E$7:$E$1200,MATCH($A280,'Registro de Fichas'!$D$7:$D$1200,0)),"")</f>
        <v/>
      </c>
      <c r="C280" s="74" t="n">
        <f aca="false">COUNTIF('Registro de Fichas'!$D$7:$D$1200,$A280)</f>
        <v>0</v>
      </c>
      <c r="D280" s="72"/>
      <c r="E280" s="73" t="str">
        <f aca="false">IFERROR(AVERAGEIF('Registro de Fichas'!$D$7:$D$1200,$A280,'Registro de Fichas'!$G$7:$G$1200),"")</f>
        <v/>
      </c>
      <c r="F280" s="73" t="str">
        <f aca="false">IFERROR(AVERAGEIF('Registro de Fichas'!$D$7:$D$1200,$A280,'Registro de Fichas'!$H$7:$H$1200),"")</f>
        <v/>
      </c>
      <c r="G280" s="73" t="str">
        <f aca="false">IFERROR(AVERAGEIF('Registro de Fichas'!$D$7:$D$1200,$A280,'Registro de Fichas'!$I$7:$I$1200),"")</f>
        <v/>
      </c>
      <c r="H280" s="73" t="str">
        <f aca="false">IFERROR(AVERAGEIF('Registro de Fichas'!$D$7:$D$1200,$A280,'Registro de Fichas'!$J$7:$J$1200),"")</f>
        <v/>
      </c>
      <c r="I280" s="56" t="str">
        <f aca="false">IF($C280=0,"",IF($C280&gt;=Parametros!$B$27,"OK","FALTAN "&amp;(Parametros!$B$27-$C280)))</f>
        <v/>
      </c>
      <c r="J280" s="56" t="str">
        <f aca="false">IF($C280=0,"",SUMIF('Registro de Fichas'!$D$7:$D$1200,$A280,'Registro de Fichas'!$M$7:$M$1200))</f>
        <v/>
      </c>
      <c r="K280" s="74" t="n">
        <f aca="false">COUNTIFS('Registro de Fichas'!$D$7:$D$1200,$A280,'Registro de Fichas'!$K$7:$K$1200,"Contenedores")</f>
        <v>0</v>
      </c>
      <c r="L280" s="74" t="n">
        <f aca="false">COUNTIFS('Registro de Fichas'!$D$7:$D$1200,$A280,'Registro de Fichas'!$K$7:$K$1200,"Granel solido")</f>
        <v>0</v>
      </c>
      <c r="M280" s="74" t="n">
        <f aca="false">COUNTIFS('Registro de Fichas'!$D$7:$D$1200,$A280,'Registro de Fichas'!$K$7:$K$1200,"Carga fraccionada")</f>
        <v>0</v>
      </c>
      <c r="N280" s="74" t="n">
        <f aca="false">COUNTIFS('Registro de Fichas'!$D$7:$D$1200,$A280,'Registro de Fichas'!$K$7:$K$1200,"Big bags")</f>
        <v>0</v>
      </c>
      <c r="O280" s="74" t="n">
        <f aca="false">COUNTIFS('Registro de Fichas'!$D$7:$D$1200,$A280,'Registro de Fichas'!$L$7:$L$1200,"Si")</f>
        <v>0</v>
      </c>
      <c r="P280" s="75" t="str">
        <f aca="false">IF($C280=0,"",IF($C280&lt;Parametros!$B$27,"EVIDENCIA INSUFICIENTE",IF(AND($D280&lt;&gt;"",$C280&lt;$D280*Parametros!$B$28),"BAJO % MUESTREO",IF($J280&lt;Parametros!$B$31,"POCOS EVALUADORES","VALIDA"))))</f>
        <v/>
      </c>
    </row>
    <row r="281" customFormat="false" ht="15" hidden="false" customHeight="true" outlineLevel="0" collapsed="false">
      <c r="A281" s="72"/>
      <c r="B281" s="13" t="str">
        <f aca="false">IFERROR(INDEX('Registro de Fichas'!$E$7:$E$1200,MATCH($A281,'Registro de Fichas'!$D$7:$D$1200,0)),"")</f>
        <v/>
      </c>
      <c r="C281" s="26" t="n">
        <f aca="false">COUNTIF('Registro de Fichas'!$D$7:$D$1200,$A281)</f>
        <v>0</v>
      </c>
      <c r="D281" s="72"/>
      <c r="E281" s="73" t="str">
        <f aca="false">IFERROR(AVERAGEIF('Registro de Fichas'!$D$7:$D$1200,$A281,'Registro de Fichas'!$G$7:$G$1200),"")</f>
        <v/>
      </c>
      <c r="F281" s="73" t="str">
        <f aca="false">IFERROR(AVERAGEIF('Registro de Fichas'!$D$7:$D$1200,$A281,'Registro de Fichas'!$H$7:$H$1200),"")</f>
        <v/>
      </c>
      <c r="G281" s="73" t="str">
        <f aca="false">IFERROR(AVERAGEIF('Registro de Fichas'!$D$7:$D$1200,$A281,'Registro de Fichas'!$I$7:$I$1200),"")</f>
        <v/>
      </c>
      <c r="H281" s="73" t="str">
        <f aca="false">IFERROR(AVERAGEIF('Registro de Fichas'!$D$7:$D$1200,$A281,'Registro de Fichas'!$J$7:$J$1200),"")</f>
        <v/>
      </c>
      <c r="I281" s="38" t="str">
        <f aca="false">IF($C281=0,"",IF($C281&gt;=Parametros!$B$27,"OK","FALTAN "&amp;(Parametros!$B$27-$C281)))</f>
        <v/>
      </c>
      <c r="J281" s="38" t="str">
        <f aca="false">IF($C281=0,"",SUMIF('Registro de Fichas'!$D$7:$D$1200,$A281,'Registro de Fichas'!$M$7:$M$1200))</f>
        <v/>
      </c>
      <c r="K281" s="26" t="n">
        <f aca="false">COUNTIFS('Registro de Fichas'!$D$7:$D$1200,$A281,'Registro de Fichas'!$K$7:$K$1200,"Contenedores")</f>
        <v>0</v>
      </c>
      <c r="L281" s="26" t="n">
        <f aca="false">COUNTIFS('Registro de Fichas'!$D$7:$D$1200,$A281,'Registro de Fichas'!$K$7:$K$1200,"Granel solido")</f>
        <v>0</v>
      </c>
      <c r="M281" s="26" t="n">
        <f aca="false">COUNTIFS('Registro de Fichas'!$D$7:$D$1200,$A281,'Registro de Fichas'!$K$7:$K$1200,"Carga fraccionada")</f>
        <v>0</v>
      </c>
      <c r="N281" s="26" t="n">
        <f aca="false">COUNTIFS('Registro de Fichas'!$D$7:$D$1200,$A281,'Registro de Fichas'!$K$7:$K$1200,"Big bags")</f>
        <v>0</v>
      </c>
      <c r="O281" s="26" t="n">
        <f aca="false">COUNTIFS('Registro de Fichas'!$D$7:$D$1200,$A281,'Registro de Fichas'!$L$7:$L$1200,"Si")</f>
        <v>0</v>
      </c>
      <c r="P281" s="23" t="str">
        <f aca="false">IF($C281=0,"",IF($C281&lt;Parametros!$B$27,"EVIDENCIA INSUFICIENTE",IF(AND($D281&lt;&gt;"",$C281&lt;$D281*Parametros!$B$28),"BAJO % MUESTREO",IF($J281&lt;Parametros!$B$31,"POCOS EVALUADORES","VALIDA"))))</f>
        <v/>
      </c>
    </row>
    <row r="282" customFormat="false" ht="15" hidden="false" customHeight="true" outlineLevel="0" collapsed="false">
      <c r="A282" s="72"/>
      <c r="B282" s="16" t="str">
        <f aca="false">IFERROR(INDEX('Registro de Fichas'!$E$7:$E$1200,MATCH($A282,'Registro de Fichas'!$D$7:$D$1200,0)),"")</f>
        <v/>
      </c>
      <c r="C282" s="74" t="n">
        <f aca="false">COUNTIF('Registro de Fichas'!$D$7:$D$1200,$A282)</f>
        <v>0</v>
      </c>
      <c r="D282" s="72"/>
      <c r="E282" s="73" t="str">
        <f aca="false">IFERROR(AVERAGEIF('Registro de Fichas'!$D$7:$D$1200,$A282,'Registro de Fichas'!$G$7:$G$1200),"")</f>
        <v/>
      </c>
      <c r="F282" s="73" t="str">
        <f aca="false">IFERROR(AVERAGEIF('Registro de Fichas'!$D$7:$D$1200,$A282,'Registro de Fichas'!$H$7:$H$1200),"")</f>
        <v/>
      </c>
      <c r="G282" s="73" t="str">
        <f aca="false">IFERROR(AVERAGEIF('Registro de Fichas'!$D$7:$D$1200,$A282,'Registro de Fichas'!$I$7:$I$1200),"")</f>
        <v/>
      </c>
      <c r="H282" s="73" t="str">
        <f aca="false">IFERROR(AVERAGEIF('Registro de Fichas'!$D$7:$D$1200,$A282,'Registro de Fichas'!$J$7:$J$1200),"")</f>
        <v/>
      </c>
      <c r="I282" s="56" t="str">
        <f aca="false">IF($C282=0,"",IF($C282&gt;=Parametros!$B$27,"OK","FALTAN "&amp;(Parametros!$B$27-$C282)))</f>
        <v/>
      </c>
      <c r="J282" s="56" t="str">
        <f aca="false">IF($C282=0,"",SUMIF('Registro de Fichas'!$D$7:$D$1200,$A282,'Registro de Fichas'!$M$7:$M$1200))</f>
        <v/>
      </c>
      <c r="K282" s="74" t="n">
        <f aca="false">COUNTIFS('Registro de Fichas'!$D$7:$D$1200,$A282,'Registro de Fichas'!$K$7:$K$1200,"Contenedores")</f>
        <v>0</v>
      </c>
      <c r="L282" s="74" t="n">
        <f aca="false">COUNTIFS('Registro de Fichas'!$D$7:$D$1200,$A282,'Registro de Fichas'!$K$7:$K$1200,"Granel solido")</f>
        <v>0</v>
      </c>
      <c r="M282" s="74" t="n">
        <f aca="false">COUNTIFS('Registro de Fichas'!$D$7:$D$1200,$A282,'Registro de Fichas'!$K$7:$K$1200,"Carga fraccionada")</f>
        <v>0</v>
      </c>
      <c r="N282" s="74" t="n">
        <f aca="false">COUNTIFS('Registro de Fichas'!$D$7:$D$1200,$A282,'Registro de Fichas'!$K$7:$K$1200,"Big bags")</f>
        <v>0</v>
      </c>
      <c r="O282" s="74" t="n">
        <f aca="false">COUNTIFS('Registro de Fichas'!$D$7:$D$1200,$A282,'Registro de Fichas'!$L$7:$L$1200,"Si")</f>
        <v>0</v>
      </c>
      <c r="P282" s="75" t="str">
        <f aca="false">IF($C282=0,"",IF($C282&lt;Parametros!$B$27,"EVIDENCIA INSUFICIENTE",IF(AND($D282&lt;&gt;"",$C282&lt;$D282*Parametros!$B$28),"BAJO % MUESTREO",IF($J282&lt;Parametros!$B$31,"POCOS EVALUADORES","VALIDA"))))</f>
        <v/>
      </c>
    </row>
    <row r="283" customFormat="false" ht="15" hidden="false" customHeight="true" outlineLevel="0" collapsed="false">
      <c r="A283" s="72"/>
      <c r="B283" s="13" t="str">
        <f aca="false">IFERROR(INDEX('Registro de Fichas'!$E$7:$E$1200,MATCH($A283,'Registro de Fichas'!$D$7:$D$1200,0)),"")</f>
        <v/>
      </c>
      <c r="C283" s="26" t="n">
        <f aca="false">COUNTIF('Registro de Fichas'!$D$7:$D$1200,$A283)</f>
        <v>0</v>
      </c>
      <c r="D283" s="72"/>
      <c r="E283" s="73" t="str">
        <f aca="false">IFERROR(AVERAGEIF('Registro de Fichas'!$D$7:$D$1200,$A283,'Registro de Fichas'!$G$7:$G$1200),"")</f>
        <v/>
      </c>
      <c r="F283" s="73" t="str">
        <f aca="false">IFERROR(AVERAGEIF('Registro de Fichas'!$D$7:$D$1200,$A283,'Registro de Fichas'!$H$7:$H$1200),"")</f>
        <v/>
      </c>
      <c r="G283" s="73" t="str">
        <f aca="false">IFERROR(AVERAGEIF('Registro de Fichas'!$D$7:$D$1200,$A283,'Registro de Fichas'!$I$7:$I$1200),"")</f>
        <v/>
      </c>
      <c r="H283" s="73" t="str">
        <f aca="false">IFERROR(AVERAGEIF('Registro de Fichas'!$D$7:$D$1200,$A283,'Registro de Fichas'!$J$7:$J$1200),"")</f>
        <v/>
      </c>
      <c r="I283" s="38" t="str">
        <f aca="false">IF($C283=0,"",IF($C283&gt;=Parametros!$B$27,"OK","FALTAN "&amp;(Parametros!$B$27-$C283)))</f>
        <v/>
      </c>
      <c r="J283" s="38" t="str">
        <f aca="false">IF($C283=0,"",SUMIF('Registro de Fichas'!$D$7:$D$1200,$A283,'Registro de Fichas'!$M$7:$M$1200))</f>
        <v/>
      </c>
      <c r="K283" s="26" t="n">
        <f aca="false">COUNTIFS('Registro de Fichas'!$D$7:$D$1200,$A283,'Registro de Fichas'!$K$7:$K$1200,"Contenedores")</f>
        <v>0</v>
      </c>
      <c r="L283" s="26" t="n">
        <f aca="false">COUNTIFS('Registro de Fichas'!$D$7:$D$1200,$A283,'Registro de Fichas'!$K$7:$K$1200,"Granel solido")</f>
        <v>0</v>
      </c>
      <c r="M283" s="26" t="n">
        <f aca="false">COUNTIFS('Registro de Fichas'!$D$7:$D$1200,$A283,'Registro de Fichas'!$K$7:$K$1200,"Carga fraccionada")</f>
        <v>0</v>
      </c>
      <c r="N283" s="26" t="n">
        <f aca="false">COUNTIFS('Registro de Fichas'!$D$7:$D$1200,$A283,'Registro de Fichas'!$K$7:$K$1200,"Big bags")</f>
        <v>0</v>
      </c>
      <c r="O283" s="26" t="n">
        <f aca="false">COUNTIFS('Registro de Fichas'!$D$7:$D$1200,$A283,'Registro de Fichas'!$L$7:$L$1200,"Si")</f>
        <v>0</v>
      </c>
      <c r="P283" s="23" t="str">
        <f aca="false">IF($C283=0,"",IF($C283&lt;Parametros!$B$27,"EVIDENCIA INSUFICIENTE",IF(AND($D283&lt;&gt;"",$C283&lt;$D283*Parametros!$B$28),"BAJO % MUESTREO",IF($J283&lt;Parametros!$B$31,"POCOS EVALUADORES","VALIDA"))))</f>
        <v/>
      </c>
    </row>
    <row r="284" customFormat="false" ht="15" hidden="false" customHeight="true" outlineLevel="0" collapsed="false">
      <c r="A284" s="72"/>
      <c r="B284" s="16" t="str">
        <f aca="false">IFERROR(INDEX('Registro de Fichas'!$E$7:$E$1200,MATCH($A284,'Registro de Fichas'!$D$7:$D$1200,0)),"")</f>
        <v/>
      </c>
      <c r="C284" s="74" t="n">
        <f aca="false">COUNTIF('Registro de Fichas'!$D$7:$D$1200,$A284)</f>
        <v>0</v>
      </c>
      <c r="D284" s="72"/>
      <c r="E284" s="73" t="str">
        <f aca="false">IFERROR(AVERAGEIF('Registro de Fichas'!$D$7:$D$1200,$A284,'Registro de Fichas'!$G$7:$G$1200),"")</f>
        <v/>
      </c>
      <c r="F284" s="73" t="str">
        <f aca="false">IFERROR(AVERAGEIF('Registro de Fichas'!$D$7:$D$1200,$A284,'Registro de Fichas'!$H$7:$H$1200),"")</f>
        <v/>
      </c>
      <c r="G284" s="73" t="str">
        <f aca="false">IFERROR(AVERAGEIF('Registro de Fichas'!$D$7:$D$1200,$A284,'Registro de Fichas'!$I$7:$I$1200),"")</f>
        <v/>
      </c>
      <c r="H284" s="73" t="str">
        <f aca="false">IFERROR(AVERAGEIF('Registro de Fichas'!$D$7:$D$1200,$A284,'Registro de Fichas'!$J$7:$J$1200),"")</f>
        <v/>
      </c>
      <c r="I284" s="56" t="str">
        <f aca="false">IF($C284=0,"",IF($C284&gt;=Parametros!$B$27,"OK","FALTAN "&amp;(Parametros!$B$27-$C284)))</f>
        <v/>
      </c>
      <c r="J284" s="56" t="str">
        <f aca="false">IF($C284=0,"",SUMIF('Registro de Fichas'!$D$7:$D$1200,$A284,'Registro de Fichas'!$M$7:$M$1200))</f>
        <v/>
      </c>
      <c r="K284" s="74" t="n">
        <f aca="false">COUNTIFS('Registro de Fichas'!$D$7:$D$1200,$A284,'Registro de Fichas'!$K$7:$K$1200,"Contenedores")</f>
        <v>0</v>
      </c>
      <c r="L284" s="74" t="n">
        <f aca="false">COUNTIFS('Registro de Fichas'!$D$7:$D$1200,$A284,'Registro de Fichas'!$K$7:$K$1200,"Granel solido")</f>
        <v>0</v>
      </c>
      <c r="M284" s="74" t="n">
        <f aca="false">COUNTIFS('Registro de Fichas'!$D$7:$D$1200,$A284,'Registro de Fichas'!$K$7:$K$1200,"Carga fraccionada")</f>
        <v>0</v>
      </c>
      <c r="N284" s="74" t="n">
        <f aca="false">COUNTIFS('Registro de Fichas'!$D$7:$D$1200,$A284,'Registro de Fichas'!$K$7:$K$1200,"Big bags")</f>
        <v>0</v>
      </c>
      <c r="O284" s="74" t="n">
        <f aca="false">COUNTIFS('Registro de Fichas'!$D$7:$D$1200,$A284,'Registro de Fichas'!$L$7:$L$1200,"Si")</f>
        <v>0</v>
      </c>
      <c r="P284" s="75" t="str">
        <f aca="false">IF($C284=0,"",IF($C284&lt;Parametros!$B$27,"EVIDENCIA INSUFICIENTE",IF(AND($D284&lt;&gt;"",$C284&lt;$D284*Parametros!$B$28),"BAJO % MUESTREO",IF($J284&lt;Parametros!$B$31,"POCOS EVALUADORES","VALIDA"))))</f>
        <v/>
      </c>
    </row>
    <row r="285" customFormat="false" ht="15" hidden="false" customHeight="true" outlineLevel="0" collapsed="false">
      <c r="A285" s="72"/>
      <c r="B285" s="13" t="str">
        <f aca="false">IFERROR(INDEX('Registro de Fichas'!$E$7:$E$1200,MATCH($A285,'Registro de Fichas'!$D$7:$D$1200,0)),"")</f>
        <v/>
      </c>
      <c r="C285" s="26" t="n">
        <f aca="false">COUNTIF('Registro de Fichas'!$D$7:$D$1200,$A285)</f>
        <v>0</v>
      </c>
      <c r="D285" s="72"/>
      <c r="E285" s="73" t="str">
        <f aca="false">IFERROR(AVERAGEIF('Registro de Fichas'!$D$7:$D$1200,$A285,'Registro de Fichas'!$G$7:$G$1200),"")</f>
        <v/>
      </c>
      <c r="F285" s="73" t="str">
        <f aca="false">IFERROR(AVERAGEIF('Registro de Fichas'!$D$7:$D$1200,$A285,'Registro de Fichas'!$H$7:$H$1200),"")</f>
        <v/>
      </c>
      <c r="G285" s="73" t="str">
        <f aca="false">IFERROR(AVERAGEIF('Registro de Fichas'!$D$7:$D$1200,$A285,'Registro de Fichas'!$I$7:$I$1200),"")</f>
        <v/>
      </c>
      <c r="H285" s="73" t="str">
        <f aca="false">IFERROR(AVERAGEIF('Registro de Fichas'!$D$7:$D$1200,$A285,'Registro de Fichas'!$J$7:$J$1200),"")</f>
        <v/>
      </c>
      <c r="I285" s="38" t="str">
        <f aca="false">IF($C285=0,"",IF($C285&gt;=Parametros!$B$27,"OK","FALTAN "&amp;(Parametros!$B$27-$C285)))</f>
        <v/>
      </c>
      <c r="J285" s="38" t="str">
        <f aca="false">IF($C285=0,"",SUMIF('Registro de Fichas'!$D$7:$D$1200,$A285,'Registro de Fichas'!$M$7:$M$1200))</f>
        <v/>
      </c>
      <c r="K285" s="26" t="n">
        <f aca="false">COUNTIFS('Registro de Fichas'!$D$7:$D$1200,$A285,'Registro de Fichas'!$K$7:$K$1200,"Contenedores")</f>
        <v>0</v>
      </c>
      <c r="L285" s="26" t="n">
        <f aca="false">COUNTIFS('Registro de Fichas'!$D$7:$D$1200,$A285,'Registro de Fichas'!$K$7:$K$1200,"Granel solido")</f>
        <v>0</v>
      </c>
      <c r="M285" s="26" t="n">
        <f aca="false">COUNTIFS('Registro de Fichas'!$D$7:$D$1200,$A285,'Registro de Fichas'!$K$7:$K$1200,"Carga fraccionada")</f>
        <v>0</v>
      </c>
      <c r="N285" s="26" t="n">
        <f aca="false">COUNTIFS('Registro de Fichas'!$D$7:$D$1200,$A285,'Registro de Fichas'!$K$7:$K$1200,"Big bags")</f>
        <v>0</v>
      </c>
      <c r="O285" s="26" t="n">
        <f aca="false">COUNTIFS('Registro de Fichas'!$D$7:$D$1200,$A285,'Registro de Fichas'!$L$7:$L$1200,"Si")</f>
        <v>0</v>
      </c>
      <c r="P285" s="23" t="str">
        <f aca="false">IF($C285=0,"",IF($C285&lt;Parametros!$B$27,"EVIDENCIA INSUFICIENTE",IF(AND($D285&lt;&gt;"",$C285&lt;$D285*Parametros!$B$28),"BAJO % MUESTREO",IF($J285&lt;Parametros!$B$31,"POCOS EVALUADORES","VALIDA"))))</f>
        <v/>
      </c>
    </row>
    <row r="286" customFormat="false" ht="15" hidden="false" customHeight="true" outlineLevel="0" collapsed="false">
      <c r="A286" s="72"/>
      <c r="B286" s="16" t="str">
        <f aca="false">IFERROR(INDEX('Registro de Fichas'!$E$7:$E$1200,MATCH($A286,'Registro de Fichas'!$D$7:$D$1200,0)),"")</f>
        <v/>
      </c>
      <c r="C286" s="74" t="n">
        <f aca="false">COUNTIF('Registro de Fichas'!$D$7:$D$1200,$A286)</f>
        <v>0</v>
      </c>
      <c r="D286" s="72"/>
      <c r="E286" s="73" t="str">
        <f aca="false">IFERROR(AVERAGEIF('Registro de Fichas'!$D$7:$D$1200,$A286,'Registro de Fichas'!$G$7:$G$1200),"")</f>
        <v/>
      </c>
      <c r="F286" s="73" t="str">
        <f aca="false">IFERROR(AVERAGEIF('Registro de Fichas'!$D$7:$D$1200,$A286,'Registro de Fichas'!$H$7:$H$1200),"")</f>
        <v/>
      </c>
      <c r="G286" s="73" t="str">
        <f aca="false">IFERROR(AVERAGEIF('Registro de Fichas'!$D$7:$D$1200,$A286,'Registro de Fichas'!$I$7:$I$1200),"")</f>
        <v/>
      </c>
      <c r="H286" s="73" t="str">
        <f aca="false">IFERROR(AVERAGEIF('Registro de Fichas'!$D$7:$D$1200,$A286,'Registro de Fichas'!$J$7:$J$1200),"")</f>
        <v/>
      </c>
      <c r="I286" s="56" t="str">
        <f aca="false">IF($C286=0,"",IF($C286&gt;=Parametros!$B$27,"OK","FALTAN "&amp;(Parametros!$B$27-$C286)))</f>
        <v/>
      </c>
      <c r="J286" s="56" t="str">
        <f aca="false">IF($C286=0,"",SUMIF('Registro de Fichas'!$D$7:$D$1200,$A286,'Registro de Fichas'!$M$7:$M$1200))</f>
        <v/>
      </c>
      <c r="K286" s="74" t="n">
        <f aca="false">COUNTIFS('Registro de Fichas'!$D$7:$D$1200,$A286,'Registro de Fichas'!$K$7:$K$1200,"Contenedores")</f>
        <v>0</v>
      </c>
      <c r="L286" s="74" t="n">
        <f aca="false">COUNTIFS('Registro de Fichas'!$D$7:$D$1200,$A286,'Registro de Fichas'!$K$7:$K$1200,"Granel solido")</f>
        <v>0</v>
      </c>
      <c r="M286" s="74" t="n">
        <f aca="false">COUNTIFS('Registro de Fichas'!$D$7:$D$1200,$A286,'Registro de Fichas'!$K$7:$K$1200,"Carga fraccionada")</f>
        <v>0</v>
      </c>
      <c r="N286" s="74" t="n">
        <f aca="false">COUNTIFS('Registro de Fichas'!$D$7:$D$1200,$A286,'Registro de Fichas'!$K$7:$K$1200,"Big bags")</f>
        <v>0</v>
      </c>
      <c r="O286" s="74" t="n">
        <f aca="false">COUNTIFS('Registro de Fichas'!$D$7:$D$1200,$A286,'Registro de Fichas'!$L$7:$L$1200,"Si")</f>
        <v>0</v>
      </c>
      <c r="P286" s="75" t="str">
        <f aca="false">IF($C286=0,"",IF($C286&lt;Parametros!$B$27,"EVIDENCIA INSUFICIENTE",IF(AND($D286&lt;&gt;"",$C286&lt;$D286*Parametros!$B$28),"BAJO % MUESTREO",IF($J286&lt;Parametros!$B$31,"POCOS EVALUADORES","VALIDA"))))</f>
        <v/>
      </c>
    </row>
    <row r="287" customFormat="false" ht="15" hidden="false" customHeight="true" outlineLevel="0" collapsed="false">
      <c r="A287" s="72"/>
      <c r="B287" s="13" t="str">
        <f aca="false">IFERROR(INDEX('Registro de Fichas'!$E$7:$E$1200,MATCH($A287,'Registro de Fichas'!$D$7:$D$1200,0)),"")</f>
        <v/>
      </c>
      <c r="C287" s="26" t="n">
        <f aca="false">COUNTIF('Registro de Fichas'!$D$7:$D$1200,$A287)</f>
        <v>0</v>
      </c>
      <c r="D287" s="72"/>
      <c r="E287" s="73" t="str">
        <f aca="false">IFERROR(AVERAGEIF('Registro de Fichas'!$D$7:$D$1200,$A287,'Registro de Fichas'!$G$7:$G$1200),"")</f>
        <v/>
      </c>
      <c r="F287" s="73" t="str">
        <f aca="false">IFERROR(AVERAGEIF('Registro de Fichas'!$D$7:$D$1200,$A287,'Registro de Fichas'!$H$7:$H$1200),"")</f>
        <v/>
      </c>
      <c r="G287" s="73" t="str">
        <f aca="false">IFERROR(AVERAGEIF('Registro de Fichas'!$D$7:$D$1200,$A287,'Registro de Fichas'!$I$7:$I$1200),"")</f>
        <v/>
      </c>
      <c r="H287" s="73" t="str">
        <f aca="false">IFERROR(AVERAGEIF('Registro de Fichas'!$D$7:$D$1200,$A287,'Registro de Fichas'!$J$7:$J$1200),"")</f>
        <v/>
      </c>
      <c r="I287" s="38" t="str">
        <f aca="false">IF($C287=0,"",IF($C287&gt;=Parametros!$B$27,"OK","FALTAN "&amp;(Parametros!$B$27-$C287)))</f>
        <v/>
      </c>
      <c r="J287" s="38" t="str">
        <f aca="false">IF($C287=0,"",SUMIF('Registro de Fichas'!$D$7:$D$1200,$A287,'Registro de Fichas'!$M$7:$M$1200))</f>
        <v/>
      </c>
      <c r="K287" s="26" t="n">
        <f aca="false">COUNTIFS('Registro de Fichas'!$D$7:$D$1200,$A287,'Registro de Fichas'!$K$7:$K$1200,"Contenedores")</f>
        <v>0</v>
      </c>
      <c r="L287" s="26" t="n">
        <f aca="false">COUNTIFS('Registro de Fichas'!$D$7:$D$1200,$A287,'Registro de Fichas'!$K$7:$K$1200,"Granel solido")</f>
        <v>0</v>
      </c>
      <c r="M287" s="26" t="n">
        <f aca="false">COUNTIFS('Registro de Fichas'!$D$7:$D$1200,$A287,'Registro de Fichas'!$K$7:$K$1200,"Carga fraccionada")</f>
        <v>0</v>
      </c>
      <c r="N287" s="26" t="n">
        <f aca="false">COUNTIFS('Registro de Fichas'!$D$7:$D$1200,$A287,'Registro de Fichas'!$K$7:$K$1200,"Big bags")</f>
        <v>0</v>
      </c>
      <c r="O287" s="26" t="n">
        <f aca="false">COUNTIFS('Registro de Fichas'!$D$7:$D$1200,$A287,'Registro de Fichas'!$L$7:$L$1200,"Si")</f>
        <v>0</v>
      </c>
      <c r="P287" s="23" t="str">
        <f aca="false">IF($C287=0,"",IF($C287&lt;Parametros!$B$27,"EVIDENCIA INSUFICIENTE",IF(AND($D287&lt;&gt;"",$C287&lt;$D287*Parametros!$B$28),"BAJO % MUESTREO",IF($J287&lt;Parametros!$B$31,"POCOS EVALUADORES","VALIDA"))))</f>
        <v/>
      </c>
    </row>
    <row r="288" customFormat="false" ht="15" hidden="false" customHeight="true" outlineLevel="0" collapsed="false">
      <c r="A288" s="72"/>
      <c r="B288" s="16" t="str">
        <f aca="false">IFERROR(INDEX('Registro de Fichas'!$E$7:$E$1200,MATCH($A288,'Registro de Fichas'!$D$7:$D$1200,0)),"")</f>
        <v/>
      </c>
      <c r="C288" s="74" t="n">
        <f aca="false">COUNTIF('Registro de Fichas'!$D$7:$D$1200,$A288)</f>
        <v>0</v>
      </c>
      <c r="D288" s="72"/>
      <c r="E288" s="73" t="str">
        <f aca="false">IFERROR(AVERAGEIF('Registro de Fichas'!$D$7:$D$1200,$A288,'Registro de Fichas'!$G$7:$G$1200),"")</f>
        <v/>
      </c>
      <c r="F288" s="73" t="str">
        <f aca="false">IFERROR(AVERAGEIF('Registro de Fichas'!$D$7:$D$1200,$A288,'Registro de Fichas'!$H$7:$H$1200),"")</f>
        <v/>
      </c>
      <c r="G288" s="73" t="str">
        <f aca="false">IFERROR(AVERAGEIF('Registro de Fichas'!$D$7:$D$1200,$A288,'Registro de Fichas'!$I$7:$I$1200),"")</f>
        <v/>
      </c>
      <c r="H288" s="73" t="str">
        <f aca="false">IFERROR(AVERAGEIF('Registro de Fichas'!$D$7:$D$1200,$A288,'Registro de Fichas'!$J$7:$J$1200),"")</f>
        <v/>
      </c>
      <c r="I288" s="56" t="str">
        <f aca="false">IF($C288=0,"",IF($C288&gt;=Parametros!$B$27,"OK","FALTAN "&amp;(Parametros!$B$27-$C288)))</f>
        <v/>
      </c>
      <c r="J288" s="56" t="str">
        <f aca="false">IF($C288=0,"",SUMIF('Registro de Fichas'!$D$7:$D$1200,$A288,'Registro de Fichas'!$M$7:$M$1200))</f>
        <v/>
      </c>
      <c r="K288" s="74" t="n">
        <f aca="false">COUNTIFS('Registro de Fichas'!$D$7:$D$1200,$A288,'Registro de Fichas'!$K$7:$K$1200,"Contenedores")</f>
        <v>0</v>
      </c>
      <c r="L288" s="74" t="n">
        <f aca="false">COUNTIFS('Registro de Fichas'!$D$7:$D$1200,$A288,'Registro de Fichas'!$K$7:$K$1200,"Granel solido")</f>
        <v>0</v>
      </c>
      <c r="M288" s="74" t="n">
        <f aca="false">COUNTIFS('Registro de Fichas'!$D$7:$D$1200,$A288,'Registro de Fichas'!$K$7:$K$1200,"Carga fraccionada")</f>
        <v>0</v>
      </c>
      <c r="N288" s="74" t="n">
        <f aca="false">COUNTIFS('Registro de Fichas'!$D$7:$D$1200,$A288,'Registro de Fichas'!$K$7:$K$1200,"Big bags")</f>
        <v>0</v>
      </c>
      <c r="O288" s="74" t="n">
        <f aca="false">COUNTIFS('Registro de Fichas'!$D$7:$D$1200,$A288,'Registro de Fichas'!$L$7:$L$1200,"Si")</f>
        <v>0</v>
      </c>
      <c r="P288" s="75" t="str">
        <f aca="false">IF($C288=0,"",IF($C288&lt;Parametros!$B$27,"EVIDENCIA INSUFICIENTE",IF(AND($D288&lt;&gt;"",$C288&lt;$D288*Parametros!$B$28),"BAJO % MUESTREO",IF($J288&lt;Parametros!$B$31,"POCOS EVALUADORES","VALIDA"))))</f>
        <v/>
      </c>
    </row>
    <row r="289" customFormat="false" ht="15" hidden="false" customHeight="true" outlineLevel="0" collapsed="false">
      <c r="A289" s="72"/>
      <c r="B289" s="13" t="str">
        <f aca="false">IFERROR(INDEX('Registro de Fichas'!$E$7:$E$1200,MATCH($A289,'Registro de Fichas'!$D$7:$D$1200,0)),"")</f>
        <v/>
      </c>
      <c r="C289" s="26" t="n">
        <f aca="false">COUNTIF('Registro de Fichas'!$D$7:$D$1200,$A289)</f>
        <v>0</v>
      </c>
      <c r="D289" s="72"/>
      <c r="E289" s="73" t="str">
        <f aca="false">IFERROR(AVERAGEIF('Registro de Fichas'!$D$7:$D$1200,$A289,'Registro de Fichas'!$G$7:$G$1200),"")</f>
        <v/>
      </c>
      <c r="F289" s="73" t="str">
        <f aca="false">IFERROR(AVERAGEIF('Registro de Fichas'!$D$7:$D$1200,$A289,'Registro de Fichas'!$H$7:$H$1200),"")</f>
        <v/>
      </c>
      <c r="G289" s="73" t="str">
        <f aca="false">IFERROR(AVERAGEIF('Registro de Fichas'!$D$7:$D$1200,$A289,'Registro de Fichas'!$I$7:$I$1200),"")</f>
        <v/>
      </c>
      <c r="H289" s="73" t="str">
        <f aca="false">IFERROR(AVERAGEIF('Registro de Fichas'!$D$7:$D$1200,$A289,'Registro de Fichas'!$J$7:$J$1200),"")</f>
        <v/>
      </c>
      <c r="I289" s="38" t="str">
        <f aca="false">IF($C289=0,"",IF($C289&gt;=Parametros!$B$27,"OK","FALTAN "&amp;(Parametros!$B$27-$C289)))</f>
        <v/>
      </c>
      <c r="J289" s="38" t="str">
        <f aca="false">IF($C289=0,"",SUMIF('Registro de Fichas'!$D$7:$D$1200,$A289,'Registro de Fichas'!$M$7:$M$1200))</f>
        <v/>
      </c>
      <c r="K289" s="26" t="n">
        <f aca="false">COUNTIFS('Registro de Fichas'!$D$7:$D$1200,$A289,'Registro de Fichas'!$K$7:$K$1200,"Contenedores")</f>
        <v>0</v>
      </c>
      <c r="L289" s="26" t="n">
        <f aca="false">COUNTIFS('Registro de Fichas'!$D$7:$D$1200,$A289,'Registro de Fichas'!$K$7:$K$1200,"Granel solido")</f>
        <v>0</v>
      </c>
      <c r="M289" s="26" t="n">
        <f aca="false">COUNTIFS('Registro de Fichas'!$D$7:$D$1200,$A289,'Registro de Fichas'!$K$7:$K$1200,"Carga fraccionada")</f>
        <v>0</v>
      </c>
      <c r="N289" s="26" t="n">
        <f aca="false">COUNTIFS('Registro de Fichas'!$D$7:$D$1200,$A289,'Registro de Fichas'!$K$7:$K$1200,"Big bags")</f>
        <v>0</v>
      </c>
      <c r="O289" s="26" t="n">
        <f aca="false">COUNTIFS('Registro de Fichas'!$D$7:$D$1200,$A289,'Registro de Fichas'!$L$7:$L$1200,"Si")</f>
        <v>0</v>
      </c>
      <c r="P289" s="23" t="str">
        <f aca="false">IF($C289=0,"",IF($C289&lt;Parametros!$B$27,"EVIDENCIA INSUFICIENTE",IF(AND($D289&lt;&gt;"",$C289&lt;$D289*Parametros!$B$28),"BAJO % MUESTREO",IF($J289&lt;Parametros!$B$31,"POCOS EVALUADORES","VALIDA"))))</f>
        <v/>
      </c>
    </row>
    <row r="290" customFormat="false" ht="15" hidden="false" customHeight="true" outlineLevel="0" collapsed="false">
      <c r="A290" s="72"/>
      <c r="B290" s="16" t="str">
        <f aca="false">IFERROR(INDEX('Registro de Fichas'!$E$7:$E$1200,MATCH($A290,'Registro de Fichas'!$D$7:$D$1200,0)),"")</f>
        <v/>
      </c>
      <c r="C290" s="74" t="n">
        <f aca="false">COUNTIF('Registro de Fichas'!$D$7:$D$1200,$A290)</f>
        <v>0</v>
      </c>
      <c r="D290" s="72"/>
      <c r="E290" s="73" t="str">
        <f aca="false">IFERROR(AVERAGEIF('Registro de Fichas'!$D$7:$D$1200,$A290,'Registro de Fichas'!$G$7:$G$1200),"")</f>
        <v/>
      </c>
      <c r="F290" s="73" t="str">
        <f aca="false">IFERROR(AVERAGEIF('Registro de Fichas'!$D$7:$D$1200,$A290,'Registro de Fichas'!$H$7:$H$1200),"")</f>
        <v/>
      </c>
      <c r="G290" s="73" t="str">
        <f aca="false">IFERROR(AVERAGEIF('Registro de Fichas'!$D$7:$D$1200,$A290,'Registro de Fichas'!$I$7:$I$1200),"")</f>
        <v/>
      </c>
      <c r="H290" s="73" t="str">
        <f aca="false">IFERROR(AVERAGEIF('Registro de Fichas'!$D$7:$D$1200,$A290,'Registro de Fichas'!$J$7:$J$1200),"")</f>
        <v/>
      </c>
      <c r="I290" s="56" t="str">
        <f aca="false">IF($C290=0,"",IF($C290&gt;=Parametros!$B$27,"OK","FALTAN "&amp;(Parametros!$B$27-$C290)))</f>
        <v/>
      </c>
      <c r="J290" s="56" t="str">
        <f aca="false">IF($C290=0,"",SUMIF('Registro de Fichas'!$D$7:$D$1200,$A290,'Registro de Fichas'!$M$7:$M$1200))</f>
        <v/>
      </c>
      <c r="K290" s="74" t="n">
        <f aca="false">COUNTIFS('Registro de Fichas'!$D$7:$D$1200,$A290,'Registro de Fichas'!$K$7:$K$1200,"Contenedores")</f>
        <v>0</v>
      </c>
      <c r="L290" s="74" t="n">
        <f aca="false">COUNTIFS('Registro de Fichas'!$D$7:$D$1200,$A290,'Registro de Fichas'!$K$7:$K$1200,"Granel solido")</f>
        <v>0</v>
      </c>
      <c r="M290" s="74" t="n">
        <f aca="false">COUNTIFS('Registro de Fichas'!$D$7:$D$1200,$A290,'Registro de Fichas'!$K$7:$K$1200,"Carga fraccionada")</f>
        <v>0</v>
      </c>
      <c r="N290" s="74" t="n">
        <f aca="false">COUNTIFS('Registro de Fichas'!$D$7:$D$1200,$A290,'Registro de Fichas'!$K$7:$K$1200,"Big bags")</f>
        <v>0</v>
      </c>
      <c r="O290" s="74" t="n">
        <f aca="false">COUNTIFS('Registro de Fichas'!$D$7:$D$1200,$A290,'Registro de Fichas'!$L$7:$L$1200,"Si")</f>
        <v>0</v>
      </c>
      <c r="P290" s="75" t="str">
        <f aca="false">IF($C290=0,"",IF($C290&lt;Parametros!$B$27,"EVIDENCIA INSUFICIENTE",IF(AND($D290&lt;&gt;"",$C290&lt;$D290*Parametros!$B$28),"BAJO % MUESTREO",IF($J290&lt;Parametros!$B$31,"POCOS EVALUADORES","VALIDA"))))</f>
        <v/>
      </c>
    </row>
    <row r="291" customFormat="false" ht="15" hidden="false" customHeight="true" outlineLevel="0" collapsed="false">
      <c r="A291" s="72"/>
      <c r="B291" s="13" t="str">
        <f aca="false">IFERROR(INDEX('Registro de Fichas'!$E$7:$E$1200,MATCH($A291,'Registro de Fichas'!$D$7:$D$1200,0)),"")</f>
        <v/>
      </c>
      <c r="C291" s="26" t="n">
        <f aca="false">COUNTIF('Registro de Fichas'!$D$7:$D$1200,$A291)</f>
        <v>0</v>
      </c>
      <c r="D291" s="72"/>
      <c r="E291" s="73" t="str">
        <f aca="false">IFERROR(AVERAGEIF('Registro de Fichas'!$D$7:$D$1200,$A291,'Registro de Fichas'!$G$7:$G$1200),"")</f>
        <v/>
      </c>
      <c r="F291" s="73" t="str">
        <f aca="false">IFERROR(AVERAGEIF('Registro de Fichas'!$D$7:$D$1200,$A291,'Registro de Fichas'!$H$7:$H$1200),"")</f>
        <v/>
      </c>
      <c r="G291" s="73" t="str">
        <f aca="false">IFERROR(AVERAGEIF('Registro de Fichas'!$D$7:$D$1200,$A291,'Registro de Fichas'!$I$7:$I$1200),"")</f>
        <v/>
      </c>
      <c r="H291" s="73" t="str">
        <f aca="false">IFERROR(AVERAGEIF('Registro de Fichas'!$D$7:$D$1200,$A291,'Registro de Fichas'!$J$7:$J$1200),"")</f>
        <v/>
      </c>
      <c r="I291" s="38" t="str">
        <f aca="false">IF($C291=0,"",IF($C291&gt;=Parametros!$B$27,"OK","FALTAN "&amp;(Parametros!$B$27-$C291)))</f>
        <v/>
      </c>
      <c r="J291" s="38" t="str">
        <f aca="false">IF($C291=0,"",SUMIF('Registro de Fichas'!$D$7:$D$1200,$A291,'Registro de Fichas'!$M$7:$M$1200))</f>
        <v/>
      </c>
      <c r="K291" s="26" t="n">
        <f aca="false">COUNTIFS('Registro de Fichas'!$D$7:$D$1200,$A291,'Registro de Fichas'!$K$7:$K$1200,"Contenedores")</f>
        <v>0</v>
      </c>
      <c r="L291" s="26" t="n">
        <f aca="false">COUNTIFS('Registro de Fichas'!$D$7:$D$1200,$A291,'Registro de Fichas'!$K$7:$K$1200,"Granel solido")</f>
        <v>0</v>
      </c>
      <c r="M291" s="26" t="n">
        <f aca="false">COUNTIFS('Registro de Fichas'!$D$7:$D$1200,$A291,'Registro de Fichas'!$K$7:$K$1200,"Carga fraccionada")</f>
        <v>0</v>
      </c>
      <c r="N291" s="26" t="n">
        <f aca="false">COUNTIFS('Registro de Fichas'!$D$7:$D$1200,$A291,'Registro de Fichas'!$K$7:$K$1200,"Big bags")</f>
        <v>0</v>
      </c>
      <c r="O291" s="26" t="n">
        <f aca="false">COUNTIFS('Registro de Fichas'!$D$7:$D$1200,$A291,'Registro de Fichas'!$L$7:$L$1200,"Si")</f>
        <v>0</v>
      </c>
      <c r="P291" s="23" t="str">
        <f aca="false">IF($C291=0,"",IF($C291&lt;Parametros!$B$27,"EVIDENCIA INSUFICIENTE",IF(AND($D291&lt;&gt;"",$C291&lt;$D291*Parametros!$B$28),"BAJO % MUESTREO",IF($J291&lt;Parametros!$B$31,"POCOS EVALUADORES","VALIDA"))))</f>
        <v/>
      </c>
    </row>
    <row r="292" customFormat="false" ht="15" hidden="false" customHeight="true" outlineLevel="0" collapsed="false">
      <c r="A292" s="72"/>
      <c r="B292" s="16" t="str">
        <f aca="false">IFERROR(INDEX('Registro de Fichas'!$E$7:$E$1200,MATCH($A292,'Registro de Fichas'!$D$7:$D$1200,0)),"")</f>
        <v/>
      </c>
      <c r="C292" s="74" t="n">
        <f aca="false">COUNTIF('Registro de Fichas'!$D$7:$D$1200,$A292)</f>
        <v>0</v>
      </c>
      <c r="D292" s="72"/>
      <c r="E292" s="73" t="str">
        <f aca="false">IFERROR(AVERAGEIF('Registro de Fichas'!$D$7:$D$1200,$A292,'Registro de Fichas'!$G$7:$G$1200),"")</f>
        <v/>
      </c>
      <c r="F292" s="73" t="str">
        <f aca="false">IFERROR(AVERAGEIF('Registro de Fichas'!$D$7:$D$1200,$A292,'Registro de Fichas'!$H$7:$H$1200),"")</f>
        <v/>
      </c>
      <c r="G292" s="73" t="str">
        <f aca="false">IFERROR(AVERAGEIF('Registro de Fichas'!$D$7:$D$1200,$A292,'Registro de Fichas'!$I$7:$I$1200),"")</f>
        <v/>
      </c>
      <c r="H292" s="73" t="str">
        <f aca="false">IFERROR(AVERAGEIF('Registro de Fichas'!$D$7:$D$1200,$A292,'Registro de Fichas'!$J$7:$J$1200),"")</f>
        <v/>
      </c>
      <c r="I292" s="56" t="str">
        <f aca="false">IF($C292=0,"",IF($C292&gt;=Parametros!$B$27,"OK","FALTAN "&amp;(Parametros!$B$27-$C292)))</f>
        <v/>
      </c>
      <c r="J292" s="56" t="str">
        <f aca="false">IF($C292=0,"",SUMIF('Registro de Fichas'!$D$7:$D$1200,$A292,'Registro de Fichas'!$M$7:$M$1200))</f>
        <v/>
      </c>
      <c r="K292" s="74" t="n">
        <f aca="false">COUNTIFS('Registro de Fichas'!$D$7:$D$1200,$A292,'Registro de Fichas'!$K$7:$K$1200,"Contenedores")</f>
        <v>0</v>
      </c>
      <c r="L292" s="74" t="n">
        <f aca="false">COUNTIFS('Registro de Fichas'!$D$7:$D$1200,$A292,'Registro de Fichas'!$K$7:$K$1200,"Granel solido")</f>
        <v>0</v>
      </c>
      <c r="M292" s="74" t="n">
        <f aca="false">COUNTIFS('Registro de Fichas'!$D$7:$D$1200,$A292,'Registro de Fichas'!$K$7:$K$1200,"Carga fraccionada")</f>
        <v>0</v>
      </c>
      <c r="N292" s="74" t="n">
        <f aca="false">COUNTIFS('Registro de Fichas'!$D$7:$D$1200,$A292,'Registro de Fichas'!$K$7:$K$1200,"Big bags")</f>
        <v>0</v>
      </c>
      <c r="O292" s="74" t="n">
        <f aca="false">COUNTIFS('Registro de Fichas'!$D$7:$D$1200,$A292,'Registro de Fichas'!$L$7:$L$1200,"Si")</f>
        <v>0</v>
      </c>
      <c r="P292" s="75" t="str">
        <f aca="false">IF($C292=0,"",IF($C292&lt;Parametros!$B$27,"EVIDENCIA INSUFICIENTE",IF(AND($D292&lt;&gt;"",$C292&lt;$D292*Parametros!$B$28),"BAJO % MUESTREO",IF($J292&lt;Parametros!$B$31,"POCOS EVALUADORES","VALIDA"))))</f>
        <v/>
      </c>
    </row>
    <row r="293" customFormat="false" ht="15" hidden="false" customHeight="true" outlineLevel="0" collapsed="false">
      <c r="A293" s="72"/>
      <c r="B293" s="13" t="str">
        <f aca="false">IFERROR(INDEX('Registro de Fichas'!$E$7:$E$1200,MATCH($A293,'Registro de Fichas'!$D$7:$D$1200,0)),"")</f>
        <v/>
      </c>
      <c r="C293" s="26" t="n">
        <f aca="false">COUNTIF('Registro de Fichas'!$D$7:$D$1200,$A293)</f>
        <v>0</v>
      </c>
      <c r="D293" s="72"/>
      <c r="E293" s="73" t="str">
        <f aca="false">IFERROR(AVERAGEIF('Registro de Fichas'!$D$7:$D$1200,$A293,'Registro de Fichas'!$G$7:$G$1200),"")</f>
        <v/>
      </c>
      <c r="F293" s="73" t="str">
        <f aca="false">IFERROR(AVERAGEIF('Registro de Fichas'!$D$7:$D$1200,$A293,'Registro de Fichas'!$H$7:$H$1200),"")</f>
        <v/>
      </c>
      <c r="G293" s="73" t="str">
        <f aca="false">IFERROR(AVERAGEIF('Registro de Fichas'!$D$7:$D$1200,$A293,'Registro de Fichas'!$I$7:$I$1200),"")</f>
        <v/>
      </c>
      <c r="H293" s="73" t="str">
        <f aca="false">IFERROR(AVERAGEIF('Registro de Fichas'!$D$7:$D$1200,$A293,'Registro de Fichas'!$J$7:$J$1200),"")</f>
        <v/>
      </c>
      <c r="I293" s="38" t="str">
        <f aca="false">IF($C293=0,"",IF($C293&gt;=Parametros!$B$27,"OK","FALTAN "&amp;(Parametros!$B$27-$C293)))</f>
        <v/>
      </c>
      <c r="J293" s="38" t="str">
        <f aca="false">IF($C293=0,"",SUMIF('Registro de Fichas'!$D$7:$D$1200,$A293,'Registro de Fichas'!$M$7:$M$1200))</f>
        <v/>
      </c>
      <c r="K293" s="26" t="n">
        <f aca="false">COUNTIFS('Registro de Fichas'!$D$7:$D$1200,$A293,'Registro de Fichas'!$K$7:$K$1200,"Contenedores")</f>
        <v>0</v>
      </c>
      <c r="L293" s="26" t="n">
        <f aca="false">COUNTIFS('Registro de Fichas'!$D$7:$D$1200,$A293,'Registro de Fichas'!$K$7:$K$1200,"Granel solido")</f>
        <v>0</v>
      </c>
      <c r="M293" s="26" t="n">
        <f aca="false">COUNTIFS('Registro de Fichas'!$D$7:$D$1200,$A293,'Registro de Fichas'!$K$7:$K$1200,"Carga fraccionada")</f>
        <v>0</v>
      </c>
      <c r="N293" s="26" t="n">
        <f aca="false">COUNTIFS('Registro de Fichas'!$D$7:$D$1200,$A293,'Registro de Fichas'!$K$7:$K$1200,"Big bags")</f>
        <v>0</v>
      </c>
      <c r="O293" s="26" t="n">
        <f aca="false">COUNTIFS('Registro de Fichas'!$D$7:$D$1200,$A293,'Registro de Fichas'!$L$7:$L$1200,"Si")</f>
        <v>0</v>
      </c>
      <c r="P293" s="23" t="str">
        <f aca="false">IF($C293=0,"",IF($C293&lt;Parametros!$B$27,"EVIDENCIA INSUFICIENTE",IF(AND($D293&lt;&gt;"",$C293&lt;$D293*Parametros!$B$28),"BAJO % MUESTREO",IF($J293&lt;Parametros!$B$31,"POCOS EVALUADORES","VALIDA"))))</f>
        <v/>
      </c>
    </row>
    <row r="294" customFormat="false" ht="15" hidden="false" customHeight="true" outlineLevel="0" collapsed="false">
      <c r="A294" s="72"/>
      <c r="B294" s="16" t="str">
        <f aca="false">IFERROR(INDEX('Registro de Fichas'!$E$7:$E$1200,MATCH($A294,'Registro de Fichas'!$D$7:$D$1200,0)),"")</f>
        <v/>
      </c>
      <c r="C294" s="74" t="n">
        <f aca="false">COUNTIF('Registro de Fichas'!$D$7:$D$1200,$A294)</f>
        <v>0</v>
      </c>
      <c r="D294" s="72"/>
      <c r="E294" s="73" t="str">
        <f aca="false">IFERROR(AVERAGEIF('Registro de Fichas'!$D$7:$D$1200,$A294,'Registro de Fichas'!$G$7:$G$1200),"")</f>
        <v/>
      </c>
      <c r="F294" s="73" t="str">
        <f aca="false">IFERROR(AVERAGEIF('Registro de Fichas'!$D$7:$D$1200,$A294,'Registro de Fichas'!$H$7:$H$1200),"")</f>
        <v/>
      </c>
      <c r="G294" s="73" t="str">
        <f aca="false">IFERROR(AVERAGEIF('Registro de Fichas'!$D$7:$D$1200,$A294,'Registro de Fichas'!$I$7:$I$1200),"")</f>
        <v/>
      </c>
      <c r="H294" s="73" t="str">
        <f aca="false">IFERROR(AVERAGEIF('Registro de Fichas'!$D$7:$D$1200,$A294,'Registro de Fichas'!$J$7:$J$1200),"")</f>
        <v/>
      </c>
      <c r="I294" s="56" t="str">
        <f aca="false">IF($C294=0,"",IF($C294&gt;=Parametros!$B$27,"OK","FALTAN "&amp;(Parametros!$B$27-$C294)))</f>
        <v/>
      </c>
      <c r="J294" s="56" t="str">
        <f aca="false">IF($C294=0,"",SUMIF('Registro de Fichas'!$D$7:$D$1200,$A294,'Registro de Fichas'!$M$7:$M$1200))</f>
        <v/>
      </c>
      <c r="K294" s="74" t="n">
        <f aca="false">COUNTIFS('Registro de Fichas'!$D$7:$D$1200,$A294,'Registro de Fichas'!$K$7:$K$1200,"Contenedores")</f>
        <v>0</v>
      </c>
      <c r="L294" s="74" t="n">
        <f aca="false">COUNTIFS('Registro de Fichas'!$D$7:$D$1200,$A294,'Registro de Fichas'!$K$7:$K$1200,"Granel solido")</f>
        <v>0</v>
      </c>
      <c r="M294" s="74" t="n">
        <f aca="false">COUNTIFS('Registro de Fichas'!$D$7:$D$1200,$A294,'Registro de Fichas'!$K$7:$K$1200,"Carga fraccionada")</f>
        <v>0</v>
      </c>
      <c r="N294" s="74" t="n">
        <f aca="false">COUNTIFS('Registro de Fichas'!$D$7:$D$1200,$A294,'Registro de Fichas'!$K$7:$K$1200,"Big bags")</f>
        <v>0</v>
      </c>
      <c r="O294" s="74" t="n">
        <f aca="false">COUNTIFS('Registro de Fichas'!$D$7:$D$1200,$A294,'Registro de Fichas'!$L$7:$L$1200,"Si")</f>
        <v>0</v>
      </c>
      <c r="P294" s="75" t="str">
        <f aca="false">IF($C294=0,"",IF($C294&lt;Parametros!$B$27,"EVIDENCIA INSUFICIENTE",IF(AND($D294&lt;&gt;"",$C294&lt;$D294*Parametros!$B$28),"BAJO % MUESTREO",IF($J294&lt;Parametros!$B$31,"POCOS EVALUADORES","VALIDA"))))</f>
        <v/>
      </c>
    </row>
    <row r="295" customFormat="false" ht="15" hidden="false" customHeight="true" outlineLevel="0" collapsed="false">
      <c r="A295" s="72"/>
      <c r="B295" s="13" t="str">
        <f aca="false">IFERROR(INDEX('Registro de Fichas'!$E$7:$E$1200,MATCH($A295,'Registro de Fichas'!$D$7:$D$1200,0)),"")</f>
        <v/>
      </c>
      <c r="C295" s="26" t="n">
        <f aca="false">COUNTIF('Registro de Fichas'!$D$7:$D$1200,$A295)</f>
        <v>0</v>
      </c>
      <c r="D295" s="72"/>
      <c r="E295" s="73" t="str">
        <f aca="false">IFERROR(AVERAGEIF('Registro de Fichas'!$D$7:$D$1200,$A295,'Registro de Fichas'!$G$7:$G$1200),"")</f>
        <v/>
      </c>
      <c r="F295" s="73" t="str">
        <f aca="false">IFERROR(AVERAGEIF('Registro de Fichas'!$D$7:$D$1200,$A295,'Registro de Fichas'!$H$7:$H$1200),"")</f>
        <v/>
      </c>
      <c r="G295" s="73" t="str">
        <f aca="false">IFERROR(AVERAGEIF('Registro de Fichas'!$D$7:$D$1200,$A295,'Registro de Fichas'!$I$7:$I$1200),"")</f>
        <v/>
      </c>
      <c r="H295" s="73" t="str">
        <f aca="false">IFERROR(AVERAGEIF('Registro de Fichas'!$D$7:$D$1200,$A295,'Registro de Fichas'!$J$7:$J$1200),"")</f>
        <v/>
      </c>
      <c r="I295" s="38" t="str">
        <f aca="false">IF($C295=0,"",IF($C295&gt;=Parametros!$B$27,"OK","FALTAN "&amp;(Parametros!$B$27-$C295)))</f>
        <v/>
      </c>
      <c r="J295" s="38" t="str">
        <f aca="false">IF($C295=0,"",SUMIF('Registro de Fichas'!$D$7:$D$1200,$A295,'Registro de Fichas'!$M$7:$M$1200))</f>
        <v/>
      </c>
      <c r="K295" s="26" t="n">
        <f aca="false">COUNTIFS('Registro de Fichas'!$D$7:$D$1200,$A295,'Registro de Fichas'!$K$7:$K$1200,"Contenedores")</f>
        <v>0</v>
      </c>
      <c r="L295" s="26" t="n">
        <f aca="false">COUNTIFS('Registro de Fichas'!$D$7:$D$1200,$A295,'Registro de Fichas'!$K$7:$K$1200,"Granel solido")</f>
        <v>0</v>
      </c>
      <c r="M295" s="26" t="n">
        <f aca="false">COUNTIFS('Registro de Fichas'!$D$7:$D$1200,$A295,'Registro de Fichas'!$K$7:$K$1200,"Carga fraccionada")</f>
        <v>0</v>
      </c>
      <c r="N295" s="26" t="n">
        <f aca="false">COUNTIFS('Registro de Fichas'!$D$7:$D$1200,$A295,'Registro de Fichas'!$K$7:$K$1200,"Big bags")</f>
        <v>0</v>
      </c>
      <c r="O295" s="26" t="n">
        <f aca="false">COUNTIFS('Registro de Fichas'!$D$7:$D$1200,$A295,'Registro de Fichas'!$L$7:$L$1200,"Si")</f>
        <v>0</v>
      </c>
      <c r="P295" s="23" t="str">
        <f aca="false">IF($C295=0,"",IF($C295&lt;Parametros!$B$27,"EVIDENCIA INSUFICIENTE",IF(AND($D295&lt;&gt;"",$C295&lt;$D295*Parametros!$B$28),"BAJO % MUESTREO",IF($J295&lt;Parametros!$B$31,"POCOS EVALUADORES","VALIDA"))))</f>
        <v/>
      </c>
    </row>
    <row r="296" customFormat="false" ht="15" hidden="false" customHeight="true" outlineLevel="0" collapsed="false">
      <c r="A296" s="72"/>
      <c r="B296" s="16" t="str">
        <f aca="false">IFERROR(INDEX('Registro de Fichas'!$E$7:$E$1200,MATCH($A296,'Registro de Fichas'!$D$7:$D$1200,0)),"")</f>
        <v/>
      </c>
      <c r="C296" s="74" t="n">
        <f aca="false">COUNTIF('Registro de Fichas'!$D$7:$D$1200,$A296)</f>
        <v>0</v>
      </c>
      <c r="D296" s="72"/>
      <c r="E296" s="73" t="str">
        <f aca="false">IFERROR(AVERAGEIF('Registro de Fichas'!$D$7:$D$1200,$A296,'Registro de Fichas'!$G$7:$G$1200),"")</f>
        <v/>
      </c>
      <c r="F296" s="73" t="str">
        <f aca="false">IFERROR(AVERAGEIF('Registro de Fichas'!$D$7:$D$1200,$A296,'Registro de Fichas'!$H$7:$H$1200),"")</f>
        <v/>
      </c>
      <c r="G296" s="73" t="str">
        <f aca="false">IFERROR(AVERAGEIF('Registro de Fichas'!$D$7:$D$1200,$A296,'Registro de Fichas'!$I$7:$I$1200),"")</f>
        <v/>
      </c>
      <c r="H296" s="73" t="str">
        <f aca="false">IFERROR(AVERAGEIF('Registro de Fichas'!$D$7:$D$1200,$A296,'Registro de Fichas'!$J$7:$J$1200),"")</f>
        <v/>
      </c>
      <c r="I296" s="56" t="str">
        <f aca="false">IF($C296=0,"",IF($C296&gt;=Parametros!$B$27,"OK","FALTAN "&amp;(Parametros!$B$27-$C296)))</f>
        <v/>
      </c>
      <c r="J296" s="56" t="str">
        <f aca="false">IF($C296=0,"",SUMIF('Registro de Fichas'!$D$7:$D$1200,$A296,'Registro de Fichas'!$M$7:$M$1200))</f>
        <v/>
      </c>
      <c r="K296" s="74" t="n">
        <f aca="false">COUNTIFS('Registro de Fichas'!$D$7:$D$1200,$A296,'Registro de Fichas'!$K$7:$K$1200,"Contenedores")</f>
        <v>0</v>
      </c>
      <c r="L296" s="74" t="n">
        <f aca="false">COUNTIFS('Registro de Fichas'!$D$7:$D$1200,$A296,'Registro de Fichas'!$K$7:$K$1200,"Granel solido")</f>
        <v>0</v>
      </c>
      <c r="M296" s="74" t="n">
        <f aca="false">COUNTIFS('Registro de Fichas'!$D$7:$D$1200,$A296,'Registro de Fichas'!$K$7:$K$1200,"Carga fraccionada")</f>
        <v>0</v>
      </c>
      <c r="N296" s="74" t="n">
        <f aca="false">COUNTIFS('Registro de Fichas'!$D$7:$D$1200,$A296,'Registro de Fichas'!$K$7:$K$1200,"Big bags")</f>
        <v>0</v>
      </c>
      <c r="O296" s="74" t="n">
        <f aca="false">COUNTIFS('Registro de Fichas'!$D$7:$D$1200,$A296,'Registro de Fichas'!$L$7:$L$1200,"Si")</f>
        <v>0</v>
      </c>
      <c r="P296" s="75" t="str">
        <f aca="false">IF($C296=0,"",IF($C296&lt;Parametros!$B$27,"EVIDENCIA INSUFICIENTE",IF(AND($D296&lt;&gt;"",$C296&lt;$D296*Parametros!$B$28),"BAJO % MUESTREO",IF($J296&lt;Parametros!$B$31,"POCOS EVALUADORES","VALIDA"))))</f>
        <v/>
      </c>
    </row>
    <row r="297" customFormat="false" ht="15" hidden="false" customHeight="true" outlineLevel="0" collapsed="false">
      <c r="A297" s="72"/>
      <c r="B297" s="13" t="str">
        <f aca="false">IFERROR(INDEX('Registro de Fichas'!$E$7:$E$1200,MATCH($A297,'Registro de Fichas'!$D$7:$D$1200,0)),"")</f>
        <v/>
      </c>
      <c r="C297" s="26" t="n">
        <f aca="false">COUNTIF('Registro de Fichas'!$D$7:$D$1200,$A297)</f>
        <v>0</v>
      </c>
      <c r="D297" s="72"/>
      <c r="E297" s="73" t="str">
        <f aca="false">IFERROR(AVERAGEIF('Registro de Fichas'!$D$7:$D$1200,$A297,'Registro de Fichas'!$G$7:$G$1200),"")</f>
        <v/>
      </c>
      <c r="F297" s="73" t="str">
        <f aca="false">IFERROR(AVERAGEIF('Registro de Fichas'!$D$7:$D$1200,$A297,'Registro de Fichas'!$H$7:$H$1200),"")</f>
        <v/>
      </c>
      <c r="G297" s="73" t="str">
        <f aca="false">IFERROR(AVERAGEIF('Registro de Fichas'!$D$7:$D$1200,$A297,'Registro de Fichas'!$I$7:$I$1200),"")</f>
        <v/>
      </c>
      <c r="H297" s="73" t="str">
        <f aca="false">IFERROR(AVERAGEIF('Registro de Fichas'!$D$7:$D$1200,$A297,'Registro de Fichas'!$J$7:$J$1200),"")</f>
        <v/>
      </c>
      <c r="I297" s="38" t="str">
        <f aca="false">IF($C297=0,"",IF($C297&gt;=Parametros!$B$27,"OK","FALTAN "&amp;(Parametros!$B$27-$C297)))</f>
        <v/>
      </c>
      <c r="J297" s="38" t="str">
        <f aca="false">IF($C297=0,"",SUMIF('Registro de Fichas'!$D$7:$D$1200,$A297,'Registro de Fichas'!$M$7:$M$1200))</f>
        <v/>
      </c>
      <c r="K297" s="26" t="n">
        <f aca="false">COUNTIFS('Registro de Fichas'!$D$7:$D$1200,$A297,'Registro de Fichas'!$K$7:$K$1200,"Contenedores")</f>
        <v>0</v>
      </c>
      <c r="L297" s="26" t="n">
        <f aca="false">COUNTIFS('Registro de Fichas'!$D$7:$D$1200,$A297,'Registro de Fichas'!$K$7:$K$1200,"Granel solido")</f>
        <v>0</v>
      </c>
      <c r="M297" s="26" t="n">
        <f aca="false">COUNTIFS('Registro de Fichas'!$D$7:$D$1200,$A297,'Registro de Fichas'!$K$7:$K$1200,"Carga fraccionada")</f>
        <v>0</v>
      </c>
      <c r="N297" s="26" t="n">
        <f aca="false">COUNTIFS('Registro de Fichas'!$D$7:$D$1200,$A297,'Registro de Fichas'!$K$7:$K$1200,"Big bags")</f>
        <v>0</v>
      </c>
      <c r="O297" s="26" t="n">
        <f aca="false">COUNTIFS('Registro de Fichas'!$D$7:$D$1200,$A297,'Registro de Fichas'!$L$7:$L$1200,"Si")</f>
        <v>0</v>
      </c>
      <c r="P297" s="23" t="str">
        <f aca="false">IF($C297=0,"",IF($C297&lt;Parametros!$B$27,"EVIDENCIA INSUFICIENTE",IF(AND($D297&lt;&gt;"",$C297&lt;$D297*Parametros!$B$28),"BAJO % MUESTREO",IF($J297&lt;Parametros!$B$31,"POCOS EVALUADORES","VALIDA"))))</f>
        <v/>
      </c>
    </row>
    <row r="298" customFormat="false" ht="15" hidden="false" customHeight="true" outlineLevel="0" collapsed="false">
      <c r="A298" s="72"/>
      <c r="B298" s="16" t="str">
        <f aca="false">IFERROR(INDEX('Registro de Fichas'!$E$7:$E$1200,MATCH($A298,'Registro de Fichas'!$D$7:$D$1200,0)),"")</f>
        <v/>
      </c>
      <c r="C298" s="74" t="n">
        <f aca="false">COUNTIF('Registro de Fichas'!$D$7:$D$1200,$A298)</f>
        <v>0</v>
      </c>
      <c r="D298" s="72"/>
      <c r="E298" s="73" t="str">
        <f aca="false">IFERROR(AVERAGEIF('Registro de Fichas'!$D$7:$D$1200,$A298,'Registro de Fichas'!$G$7:$G$1200),"")</f>
        <v/>
      </c>
      <c r="F298" s="73" t="str">
        <f aca="false">IFERROR(AVERAGEIF('Registro de Fichas'!$D$7:$D$1200,$A298,'Registro de Fichas'!$H$7:$H$1200),"")</f>
        <v/>
      </c>
      <c r="G298" s="73" t="str">
        <f aca="false">IFERROR(AVERAGEIF('Registro de Fichas'!$D$7:$D$1200,$A298,'Registro de Fichas'!$I$7:$I$1200),"")</f>
        <v/>
      </c>
      <c r="H298" s="73" t="str">
        <f aca="false">IFERROR(AVERAGEIF('Registro de Fichas'!$D$7:$D$1200,$A298,'Registro de Fichas'!$J$7:$J$1200),"")</f>
        <v/>
      </c>
      <c r="I298" s="56" t="str">
        <f aca="false">IF($C298=0,"",IF($C298&gt;=Parametros!$B$27,"OK","FALTAN "&amp;(Parametros!$B$27-$C298)))</f>
        <v/>
      </c>
      <c r="J298" s="56" t="str">
        <f aca="false">IF($C298=0,"",SUMIF('Registro de Fichas'!$D$7:$D$1200,$A298,'Registro de Fichas'!$M$7:$M$1200))</f>
        <v/>
      </c>
      <c r="K298" s="74" t="n">
        <f aca="false">COUNTIFS('Registro de Fichas'!$D$7:$D$1200,$A298,'Registro de Fichas'!$K$7:$K$1200,"Contenedores")</f>
        <v>0</v>
      </c>
      <c r="L298" s="74" t="n">
        <f aca="false">COUNTIFS('Registro de Fichas'!$D$7:$D$1200,$A298,'Registro de Fichas'!$K$7:$K$1200,"Granel solido")</f>
        <v>0</v>
      </c>
      <c r="M298" s="74" t="n">
        <f aca="false">COUNTIFS('Registro de Fichas'!$D$7:$D$1200,$A298,'Registro de Fichas'!$K$7:$K$1200,"Carga fraccionada")</f>
        <v>0</v>
      </c>
      <c r="N298" s="74" t="n">
        <f aca="false">COUNTIFS('Registro de Fichas'!$D$7:$D$1200,$A298,'Registro de Fichas'!$K$7:$K$1200,"Big bags")</f>
        <v>0</v>
      </c>
      <c r="O298" s="74" t="n">
        <f aca="false">COUNTIFS('Registro de Fichas'!$D$7:$D$1200,$A298,'Registro de Fichas'!$L$7:$L$1200,"Si")</f>
        <v>0</v>
      </c>
      <c r="P298" s="75" t="str">
        <f aca="false">IF($C298=0,"",IF($C298&lt;Parametros!$B$27,"EVIDENCIA INSUFICIENTE",IF(AND($D298&lt;&gt;"",$C298&lt;$D298*Parametros!$B$28),"BAJO % MUESTREO",IF($J298&lt;Parametros!$B$31,"POCOS EVALUADORES","VALIDA"))))</f>
        <v/>
      </c>
    </row>
    <row r="299" customFormat="false" ht="15" hidden="false" customHeight="true" outlineLevel="0" collapsed="false">
      <c r="A299" s="72"/>
      <c r="B299" s="13" t="str">
        <f aca="false">IFERROR(INDEX('Registro de Fichas'!$E$7:$E$1200,MATCH($A299,'Registro de Fichas'!$D$7:$D$1200,0)),"")</f>
        <v/>
      </c>
      <c r="C299" s="26" t="n">
        <f aca="false">COUNTIF('Registro de Fichas'!$D$7:$D$1200,$A299)</f>
        <v>0</v>
      </c>
      <c r="D299" s="72"/>
      <c r="E299" s="73" t="str">
        <f aca="false">IFERROR(AVERAGEIF('Registro de Fichas'!$D$7:$D$1200,$A299,'Registro de Fichas'!$G$7:$G$1200),"")</f>
        <v/>
      </c>
      <c r="F299" s="73" t="str">
        <f aca="false">IFERROR(AVERAGEIF('Registro de Fichas'!$D$7:$D$1200,$A299,'Registro de Fichas'!$H$7:$H$1200),"")</f>
        <v/>
      </c>
      <c r="G299" s="73" t="str">
        <f aca="false">IFERROR(AVERAGEIF('Registro de Fichas'!$D$7:$D$1200,$A299,'Registro de Fichas'!$I$7:$I$1200),"")</f>
        <v/>
      </c>
      <c r="H299" s="73" t="str">
        <f aca="false">IFERROR(AVERAGEIF('Registro de Fichas'!$D$7:$D$1200,$A299,'Registro de Fichas'!$J$7:$J$1200),"")</f>
        <v/>
      </c>
      <c r="I299" s="38" t="str">
        <f aca="false">IF($C299=0,"",IF($C299&gt;=Parametros!$B$27,"OK","FALTAN "&amp;(Parametros!$B$27-$C299)))</f>
        <v/>
      </c>
      <c r="J299" s="38" t="str">
        <f aca="false">IF($C299=0,"",SUMIF('Registro de Fichas'!$D$7:$D$1200,$A299,'Registro de Fichas'!$M$7:$M$1200))</f>
        <v/>
      </c>
      <c r="K299" s="26" t="n">
        <f aca="false">COUNTIFS('Registro de Fichas'!$D$7:$D$1200,$A299,'Registro de Fichas'!$K$7:$K$1200,"Contenedores")</f>
        <v>0</v>
      </c>
      <c r="L299" s="26" t="n">
        <f aca="false">COUNTIFS('Registro de Fichas'!$D$7:$D$1200,$A299,'Registro de Fichas'!$K$7:$K$1200,"Granel solido")</f>
        <v>0</v>
      </c>
      <c r="M299" s="26" t="n">
        <f aca="false">COUNTIFS('Registro de Fichas'!$D$7:$D$1200,$A299,'Registro de Fichas'!$K$7:$K$1200,"Carga fraccionada")</f>
        <v>0</v>
      </c>
      <c r="N299" s="26" t="n">
        <f aca="false">COUNTIFS('Registro de Fichas'!$D$7:$D$1200,$A299,'Registro de Fichas'!$K$7:$K$1200,"Big bags")</f>
        <v>0</v>
      </c>
      <c r="O299" s="26" t="n">
        <f aca="false">COUNTIFS('Registro de Fichas'!$D$7:$D$1200,$A299,'Registro de Fichas'!$L$7:$L$1200,"Si")</f>
        <v>0</v>
      </c>
      <c r="P299" s="23" t="str">
        <f aca="false">IF($C299=0,"",IF($C299&lt;Parametros!$B$27,"EVIDENCIA INSUFICIENTE",IF(AND($D299&lt;&gt;"",$C299&lt;$D299*Parametros!$B$28),"BAJO % MUESTREO",IF($J299&lt;Parametros!$B$31,"POCOS EVALUADORES","VALIDA"))))</f>
        <v/>
      </c>
    </row>
    <row r="300" customFormat="false" ht="15" hidden="false" customHeight="true" outlineLevel="0" collapsed="false">
      <c r="A300" s="72"/>
      <c r="B300" s="16" t="str">
        <f aca="false">IFERROR(INDEX('Registro de Fichas'!$E$7:$E$1200,MATCH($A300,'Registro de Fichas'!$D$7:$D$1200,0)),"")</f>
        <v/>
      </c>
      <c r="C300" s="74" t="n">
        <f aca="false">COUNTIF('Registro de Fichas'!$D$7:$D$1200,$A300)</f>
        <v>0</v>
      </c>
      <c r="D300" s="72"/>
      <c r="E300" s="73" t="str">
        <f aca="false">IFERROR(AVERAGEIF('Registro de Fichas'!$D$7:$D$1200,$A300,'Registro de Fichas'!$G$7:$G$1200),"")</f>
        <v/>
      </c>
      <c r="F300" s="73" t="str">
        <f aca="false">IFERROR(AVERAGEIF('Registro de Fichas'!$D$7:$D$1200,$A300,'Registro de Fichas'!$H$7:$H$1200),"")</f>
        <v/>
      </c>
      <c r="G300" s="73" t="str">
        <f aca="false">IFERROR(AVERAGEIF('Registro de Fichas'!$D$7:$D$1200,$A300,'Registro de Fichas'!$I$7:$I$1200),"")</f>
        <v/>
      </c>
      <c r="H300" s="73" t="str">
        <f aca="false">IFERROR(AVERAGEIF('Registro de Fichas'!$D$7:$D$1200,$A300,'Registro de Fichas'!$J$7:$J$1200),"")</f>
        <v/>
      </c>
      <c r="I300" s="56" t="str">
        <f aca="false">IF($C300=0,"",IF($C300&gt;=Parametros!$B$27,"OK","FALTAN "&amp;(Parametros!$B$27-$C300)))</f>
        <v/>
      </c>
      <c r="J300" s="56" t="str">
        <f aca="false">IF($C300=0,"",SUMIF('Registro de Fichas'!$D$7:$D$1200,$A300,'Registro de Fichas'!$M$7:$M$1200))</f>
        <v/>
      </c>
      <c r="K300" s="74" t="n">
        <f aca="false">COUNTIFS('Registro de Fichas'!$D$7:$D$1200,$A300,'Registro de Fichas'!$K$7:$K$1200,"Contenedores")</f>
        <v>0</v>
      </c>
      <c r="L300" s="74" t="n">
        <f aca="false">COUNTIFS('Registro de Fichas'!$D$7:$D$1200,$A300,'Registro de Fichas'!$K$7:$K$1200,"Granel solido")</f>
        <v>0</v>
      </c>
      <c r="M300" s="74" t="n">
        <f aca="false">COUNTIFS('Registro de Fichas'!$D$7:$D$1200,$A300,'Registro de Fichas'!$K$7:$K$1200,"Carga fraccionada")</f>
        <v>0</v>
      </c>
      <c r="N300" s="74" t="n">
        <f aca="false">COUNTIFS('Registro de Fichas'!$D$7:$D$1200,$A300,'Registro de Fichas'!$K$7:$K$1200,"Big bags")</f>
        <v>0</v>
      </c>
      <c r="O300" s="74" t="n">
        <f aca="false">COUNTIFS('Registro de Fichas'!$D$7:$D$1200,$A300,'Registro de Fichas'!$L$7:$L$1200,"Si")</f>
        <v>0</v>
      </c>
      <c r="P300" s="75" t="str">
        <f aca="false">IF($C300=0,"",IF($C300&lt;Parametros!$B$27,"EVIDENCIA INSUFICIENTE",IF(AND($D300&lt;&gt;"",$C300&lt;$D300*Parametros!$B$28),"BAJO % MUESTREO",IF($J300&lt;Parametros!$B$31,"POCOS EVALUADORES","VALIDA"))))</f>
        <v/>
      </c>
    </row>
    <row r="301" customFormat="false" ht="15" hidden="false" customHeight="true" outlineLevel="0" collapsed="false">
      <c r="A301" s="72"/>
      <c r="B301" s="13" t="str">
        <f aca="false">IFERROR(INDEX('Registro de Fichas'!$E$7:$E$1200,MATCH($A301,'Registro de Fichas'!$D$7:$D$1200,0)),"")</f>
        <v/>
      </c>
      <c r="C301" s="26" t="n">
        <f aca="false">COUNTIF('Registro de Fichas'!$D$7:$D$1200,$A301)</f>
        <v>0</v>
      </c>
      <c r="D301" s="72"/>
      <c r="E301" s="73" t="str">
        <f aca="false">IFERROR(AVERAGEIF('Registro de Fichas'!$D$7:$D$1200,$A301,'Registro de Fichas'!$G$7:$G$1200),"")</f>
        <v/>
      </c>
      <c r="F301" s="73" t="str">
        <f aca="false">IFERROR(AVERAGEIF('Registro de Fichas'!$D$7:$D$1200,$A301,'Registro de Fichas'!$H$7:$H$1200),"")</f>
        <v/>
      </c>
      <c r="G301" s="73" t="str">
        <f aca="false">IFERROR(AVERAGEIF('Registro de Fichas'!$D$7:$D$1200,$A301,'Registro de Fichas'!$I$7:$I$1200),"")</f>
        <v/>
      </c>
      <c r="H301" s="73" t="str">
        <f aca="false">IFERROR(AVERAGEIF('Registro de Fichas'!$D$7:$D$1200,$A301,'Registro de Fichas'!$J$7:$J$1200),"")</f>
        <v/>
      </c>
      <c r="I301" s="38" t="str">
        <f aca="false">IF($C301=0,"",IF($C301&gt;=Parametros!$B$27,"OK","FALTAN "&amp;(Parametros!$B$27-$C301)))</f>
        <v/>
      </c>
      <c r="J301" s="38" t="str">
        <f aca="false">IF($C301=0,"",SUMIF('Registro de Fichas'!$D$7:$D$1200,$A301,'Registro de Fichas'!$M$7:$M$1200))</f>
        <v/>
      </c>
      <c r="K301" s="26" t="n">
        <f aca="false">COUNTIFS('Registro de Fichas'!$D$7:$D$1200,$A301,'Registro de Fichas'!$K$7:$K$1200,"Contenedores")</f>
        <v>0</v>
      </c>
      <c r="L301" s="26" t="n">
        <f aca="false">COUNTIFS('Registro de Fichas'!$D$7:$D$1200,$A301,'Registro de Fichas'!$K$7:$K$1200,"Granel solido")</f>
        <v>0</v>
      </c>
      <c r="M301" s="26" t="n">
        <f aca="false">COUNTIFS('Registro de Fichas'!$D$7:$D$1200,$A301,'Registro de Fichas'!$K$7:$K$1200,"Carga fraccionada")</f>
        <v>0</v>
      </c>
      <c r="N301" s="26" t="n">
        <f aca="false">COUNTIFS('Registro de Fichas'!$D$7:$D$1200,$A301,'Registro de Fichas'!$K$7:$K$1200,"Big bags")</f>
        <v>0</v>
      </c>
      <c r="O301" s="26" t="n">
        <f aca="false">COUNTIFS('Registro de Fichas'!$D$7:$D$1200,$A301,'Registro de Fichas'!$L$7:$L$1200,"Si")</f>
        <v>0</v>
      </c>
      <c r="P301" s="23" t="str">
        <f aca="false">IF($C301=0,"",IF($C301&lt;Parametros!$B$27,"EVIDENCIA INSUFICIENTE",IF(AND($D301&lt;&gt;"",$C301&lt;$D301*Parametros!$B$28),"BAJO % MUESTREO",IF($J301&lt;Parametros!$B$31,"POCOS EVALUADORES","VALIDA"))))</f>
        <v/>
      </c>
    </row>
    <row r="302" customFormat="false" ht="15" hidden="false" customHeight="true" outlineLevel="0" collapsed="false">
      <c r="A302" s="72"/>
      <c r="B302" s="16" t="str">
        <f aca="false">IFERROR(INDEX('Registro de Fichas'!$E$7:$E$1200,MATCH($A302,'Registro de Fichas'!$D$7:$D$1200,0)),"")</f>
        <v/>
      </c>
      <c r="C302" s="74" t="n">
        <f aca="false">COUNTIF('Registro de Fichas'!$D$7:$D$1200,$A302)</f>
        <v>0</v>
      </c>
      <c r="D302" s="72"/>
      <c r="E302" s="73" t="str">
        <f aca="false">IFERROR(AVERAGEIF('Registro de Fichas'!$D$7:$D$1200,$A302,'Registro de Fichas'!$G$7:$G$1200),"")</f>
        <v/>
      </c>
      <c r="F302" s="73" t="str">
        <f aca="false">IFERROR(AVERAGEIF('Registro de Fichas'!$D$7:$D$1200,$A302,'Registro de Fichas'!$H$7:$H$1200),"")</f>
        <v/>
      </c>
      <c r="G302" s="73" t="str">
        <f aca="false">IFERROR(AVERAGEIF('Registro de Fichas'!$D$7:$D$1200,$A302,'Registro de Fichas'!$I$7:$I$1200),"")</f>
        <v/>
      </c>
      <c r="H302" s="73" t="str">
        <f aca="false">IFERROR(AVERAGEIF('Registro de Fichas'!$D$7:$D$1200,$A302,'Registro de Fichas'!$J$7:$J$1200),"")</f>
        <v/>
      </c>
      <c r="I302" s="56" t="str">
        <f aca="false">IF($C302=0,"",IF($C302&gt;=Parametros!$B$27,"OK","FALTAN "&amp;(Parametros!$B$27-$C302)))</f>
        <v/>
      </c>
      <c r="J302" s="56" t="str">
        <f aca="false">IF($C302=0,"",SUMIF('Registro de Fichas'!$D$7:$D$1200,$A302,'Registro de Fichas'!$M$7:$M$1200))</f>
        <v/>
      </c>
      <c r="K302" s="74" t="n">
        <f aca="false">COUNTIFS('Registro de Fichas'!$D$7:$D$1200,$A302,'Registro de Fichas'!$K$7:$K$1200,"Contenedores")</f>
        <v>0</v>
      </c>
      <c r="L302" s="74" t="n">
        <f aca="false">COUNTIFS('Registro de Fichas'!$D$7:$D$1200,$A302,'Registro de Fichas'!$K$7:$K$1200,"Granel solido")</f>
        <v>0</v>
      </c>
      <c r="M302" s="74" t="n">
        <f aca="false">COUNTIFS('Registro de Fichas'!$D$7:$D$1200,$A302,'Registro de Fichas'!$K$7:$K$1200,"Carga fraccionada")</f>
        <v>0</v>
      </c>
      <c r="N302" s="74" t="n">
        <f aca="false">COUNTIFS('Registro de Fichas'!$D$7:$D$1200,$A302,'Registro de Fichas'!$K$7:$K$1200,"Big bags")</f>
        <v>0</v>
      </c>
      <c r="O302" s="74" t="n">
        <f aca="false">COUNTIFS('Registro de Fichas'!$D$7:$D$1200,$A302,'Registro de Fichas'!$L$7:$L$1200,"Si")</f>
        <v>0</v>
      </c>
      <c r="P302" s="75" t="str">
        <f aca="false">IF($C302=0,"",IF($C302&lt;Parametros!$B$27,"EVIDENCIA INSUFICIENTE",IF(AND($D302&lt;&gt;"",$C302&lt;$D302*Parametros!$B$28),"BAJO % MUESTREO",IF($J302&lt;Parametros!$B$31,"POCOS EVALUADORES","VALIDA"))))</f>
        <v/>
      </c>
    </row>
    <row r="303" customFormat="false" ht="15" hidden="false" customHeight="true" outlineLevel="0" collapsed="false">
      <c r="A303" s="72"/>
      <c r="B303" s="13" t="str">
        <f aca="false">IFERROR(INDEX('Registro de Fichas'!$E$7:$E$1200,MATCH($A303,'Registro de Fichas'!$D$7:$D$1200,0)),"")</f>
        <v/>
      </c>
      <c r="C303" s="26" t="n">
        <f aca="false">COUNTIF('Registro de Fichas'!$D$7:$D$1200,$A303)</f>
        <v>0</v>
      </c>
      <c r="D303" s="72"/>
      <c r="E303" s="73" t="str">
        <f aca="false">IFERROR(AVERAGEIF('Registro de Fichas'!$D$7:$D$1200,$A303,'Registro de Fichas'!$G$7:$G$1200),"")</f>
        <v/>
      </c>
      <c r="F303" s="73" t="str">
        <f aca="false">IFERROR(AVERAGEIF('Registro de Fichas'!$D$7:$D$1200,$A303,'Registro de Fichas'!$H$7:$H$1200),"")</f>
        <v/>
      </c>
      <c r="G303" s="73" t="str">
        <f aca="false">IFERROR(AVERAGEIF('Registro de Fichas'!$D$7:$D$1200,$A303,'Registro de Fichas'!$I$7:$I$1200),"")</f>
        <v/>
      </c>
      <c r="H303" s="73" t="str">
        <f aca="false">IFERROR(AVERAGEIF('Registro de Fichas'!$D$7:$D$1200,$A303,'Registro de Fichas'!$J$7:$J$1200),"")</f>
        <v/>
      </c>
      <c r="I303" s="38" t="str">
        <f aca="false">IF($C303=0,"",IF($C303&gt;=Parametros!$B$27,"OK","FALTAN "&amp;(Parametros!$B$27-$C303)))</f>
        <v/>
      </c>
      <c r="J303" s="38" t="str">
        <f aca="false">IF($C303=0,"",SUMIF('Registro de Fichas'!$D$7:$D$1200,$A303,'Registro de Fichas'!$M$7:$M$1200))</f>
        <v/>
      </c>
      <c r="K303" s="26" t="n">
        <f aca="false">COUNTIFS('Registro de Fichas'!$D$7:$D$1200,$A303,'Registro de Fichas'!$K$7:$K$1200,"Contenedores")</f>
        <v>0</v>
      </c>
      <c r="L303" s="26" t="n">
        <f aca="false">COUNTIFS('Registro de Fichas'!$D$7:$D$1200,$A303,'Registro de Fichas'!$K$7:$K$1200,"Granel solido")</f>
        <v>0</v>
      </c>
      <c r="M303" s="26" t="n">
        <f aca="false">COUNTIFS('Registro de Fichas'!$D$7:$D$1200,$A303,'Registro de Fichas'!$K$7:$K$1200,"Carga fraccionada")</f>
        <v>0</v>
      </c>
      <c r="N303" s="26" t="n">
        <f aca="false">COUNTIFS('Registro de Fichas'!$D$7:$D$1200,$A303,'Registro de Fichas'!$K$7:$K$1200,"Big bags")</f>
        <v>0</v>
      </c>
      <c r="O303" s="26" t="n">
        <f aca="false">COUNTIFS('Registro de Fichas'!$D$7:$D$1200,$A303,'Registro de Fichas'!$L$7:$L$1200,"Si")</f>
        <v>0</v>
      </c>
      <c r="P303" s="23" t="str">
        <f aca="false">IF($C303=0,"",IF($C303&lt;Parametros!$B$27,"EVIDENCIA INSUFICIENTE",IF(AND($D303&lt;&gt;"",$C303&lt;$D303*Parametros!$B$28),"BAJO % MUESTREO",IF($J303&lt;Parametros!$B$31,"POCOS EVALUADORES","VALIDA"))))</f>
        <v/>
      </c>
    </row>
    <row r="304" customFormat="false" ht="15" hidden="false" customHeight="true" outlineLevel="0" collapsed="false">
      <c r="A304" s="72"/>
      <c r="B304" s="16" t="str">
        <f aca="false">IFERROR(INDEX('Registro de Fichas'!$E$7:$E$1200,MATCH($A304,'Registro de Fichas'!$D$7:$D$1200,0)),"")</f>
        <v/>
      </c>
      <c r="C304" s="74" t="n">
        <f aca="false">COUNTIF('Registro de Fichas'!$D$7:$D$1200,$A304)</f>
        <v>0</v>
      </c>
      <c r="D304" s="72"/>
      <c r="E304" s="73" t="str">
        <f aca="false">IFERROR(AVERAGEIF('Registro de Fichas'!$D$7:$D$1200,$A304,'Registro de Fichas'!$G$7:$G$1200),"")</f>
        <v/>
      </c>
      <c r="F304" s="73" t="str">
        <f aca="false">IFERROR(AVERAGEIF('Registro de Fichas'!$D$7:$D$1200,$A304,'Registro de Fichas'!$H$7:$H$1200),"")</f>
        <v/>
      </c>
      <c r="G304" s="73" t="str">
        <f aca="false">IFERROR(AVERAGEIF('Registro de Fichas'!$D$7:$D$1200,$A304,'Registro de Fichas'!$I$7:$I$1200),"")</f>
        <v/>
      </c>
      <c r="H304" s="73" t="str">
        <f aca="false">IFERROR(AVERAGEIF('Registro de Fichas'!$D$7:$D$1200,$A304,'Registro de Fichas'!$J$7:$J$1200),"")</f>
        <v/>
      </c>
      <c r="I304" s="56" t="str">
        <f aca="false">IF($C304=0,"",IF($C304&gt;=Parametros!$B$27,"OK","FALTAN "&amp;(Parametros!$B$27-$C304)))</f>
        <v/>
      </c>
      <c r="J304" s="56" t="str">
        <f aca="false">IF($C304=0,"",SUMIF('Registro de Fichas'!$D$7:$D$1200,$A304,'Registro de Fichas'!$M$7:$M$1200))</f>
        <v/>
      </c>
      <c r="K304" s="74" t="n">
        <f aca="false">COUNTIFS('Registro de Fichas'!$D$7:$D$1200,$A304,'Registro de Fichas'!$K$7:$K$1200,"Contenedores")</f>
        <v>0</v>
      </c>
      <c r="L304" s="74" t="n">
        <f aca="false">COUNTIFS('Registro de Fichas'!$D$7:$D$1200,$A304,'Registro de Fichas'!$K$7:$K$1200,"Granel solido")</f>
        <v>0</v>
      </c>
      <c r="M304" s="74" t="n">
        <f aca="false">COUNTIFS('Registro de Fichas'!$D$7:$D$1200,$A304,'Registro de Fichas'!$K$7:$K$1200,"Carga fraccionada")</f>
        <v>0</v>
      </c>
      <c r="N304" s="74" t="n">
        <f aca="false">COUNTIFS('Registro de Fichas'!$D$7:$D$1200,$A304,'Registro de Fichas'!$K$7:$K$1200,"Big bags")</f>
        <v>0</v>
      </c>
      <c r="O304" s="74" t="n">
        <f aca="false">COUNTIFS('Registro de Fichas'!$D$7:$D$1200,$A304,'Registro de Fichas'!$L$7:$L$1200,"Si")</f>
        <v>0</v>
      </c>
      <c r="P304" s="75" t="str">
        <f aca="false">IF($C304=0,"",IF($C304&lt;Parametros!$B$27,"EVIDENCIA INSUFICIENTE",IF(AND($D304&lt;&gt;"",$C304&lt;$D304*Parametros!$B$28),"BAJO % MUESTREO",IF($J304&lt;Parametros!$B$31,"POCOS EVALUADORES","VALIDA"))))</f>
        <v/>
      </c>
    </row>
    <row r="305" customFormat="false" ht="15" hidden="false" customHeight="true" outlineLevel="0" collapsed="false">
      <c r="A305" s="72"/>
      <c r="B305" s="13" t="str">
        <f aca="false">IFERROR(INDEX('Registro de Fichas'!$E$7:$E$1200,MATCH($A305,'Registro de Fichas'!$D$7:$D$1200,0)),"")</f>
        <v/>
      </c>
      <c r="C305" s="26" t="n">
        <f aca="false">COUNTIF('Registro de Fichas'!$D$7:$D$1200,$A305)</f>
        <v>0</v>
      </c>
      <c r="D305" s="72"/>
      <c r="E305" s="73" t="str">
        <f aca="false">IFERROR(AVERAGEIF('Registro de Fichas'!$D$7:$D$1200,$A305,'Registro de Fichas'!$G$7:$G$1200),"")</f>
        <v/>
      </c>
      <c r="F305" s="73" t="str">
        <f aca="false">IFERROR(AVERAGEIF('Registro de Fichas'!$D$7:$D$1200,$A305,'Registro de Fichas'!$H$7:$H$1200),"")</f>
        <v/>
      </c>
      <c r="G305" s="73" t="str">
        <f aca="false">IFERROR(AVERAGEIF('Registro de Fichas'!$D$7:$D$1200,$A305,'Registro de Fichas'!$I$7:$I$1200),"")</f>
        <v/>
      </c>
      <c r="H305" s="73" t="str">
        <f aca="false">IFERROR(AVERAGEIF('Registro de Fichas'!$D$7:$D$1200,$A305,'Registro de Fichas'!$J$7:$J$1200),"")</f>
        <v/>
      </c>
      <c r="I305" s="38" t="str">
        <f aca="false">IF($C305=0,"",IF($C305&gt;=Parametros!$B$27,"OK","FALTAN "&amp;(Parametros!$B$27-$C305)))</f>
        <v/>
      </c>
      <c r="J305" s="38" t="str">
        <f aca="false">IF($C305=0,"",SUMIF('Registro de Fichas'!$D$7:$D$1200,$A305,'Registro de Fichas'!$M$7:$M$1200))</f>
        <v/>
      </c>
      <c r="K305" s="26" t="n">
        <f aca="false">COUNTIFS('Registro de Fichas'!$D$7:$D$1200,$A305,'Registro de Fichas'!$K$7:$K$1200,"Contenedores")</f>
        <v>0</v>
      </c>
      <c r="L305" s="26" t="n">
        <f aca="false">COUNTIFS('Registro de Fichas'!$D$7:$D$1200,$A305,'Registro de Fichas'!$K$7:$K$1200,"Granel solido")</f>
        <v>0</v>
      </c>
      <c r="M305" s="26" t="n">
        <f aca="false">COUNTIFS('Registro de Fichas'!$D$7:$D$1200,$A305,'Registro de Fichas'!$K$7:$K$1200,"Carga fraccionada")</f>
        <v>0</v>
      </c>
      <c r="N305" s="26" t="n">
        <f aca="false">COUNTIFS('Registro de Fichas'!$D$7:$D$1200,$A305,'Registro de Fichas'!$K$7:$K$1200,"Big bags")</f>
        <v>0</v>
      </c>
      <c r="O305" s="26" t="n">
        <f aca="false">COUNTIFS('Registro de Fichas'!$D$7:$D$1200,$A305,'Registro de Fichas'!$L$7:$L$1200,"Si")</f>
        <v>0</v>
      </c>
      <c r="P305" s="23" t="str">
        <f aca="false">IF($C305=0,"",IF($C305&lt;Parametros!$B$27,"EVIDENCIA INSUFICIENTE",IF(AND($D305&lt;&gt;"",$C305&lt;$D305*Parametros!$B$28),"BAJO % MUESTREO",IF($J305&lt;Parametros!$B$31,"POCOS EVALUADORES","VALIDA"))))</f>
        <v/>
      </c>
    </row>
    <row r="306" customFormat="false" ht="15" hidden="false" customHeight="true" outlineLevel="0" collapsed="false">
      <c r="A306" s="72"/>
      <c r="B306" s="16" t="str">
        <f aca="false">IFERROR(INDEX('Registro de Fichas'!$E$7:$E$1200,MATCH($A306,'Registro de Fichas'!$D$7:$D$1200,0)),"")</f>
        <v/>
      </c>
      <c r="C306" s="74" t="n">
        <f aca="false">COUNTIF('Registro de Fichas'!$D$7:$D$1200,$A306)</f>
        <v>0</v>
      </c>
      <c r="D306" s="72"/>
      <c r="E306" s="73" t="str">
        <f aca="false">IFERROR(AVERAGEIF('Registro de Fichas'!$D$7:$D$1200,$A306,'Registro de Fichas'!$G$7:$G$1200),"")</f>
        <v/>
      </c>
      <c r="F306" s="73" t="str">
        <f aca="false">IFERROR(AVERAGEIF('Registro de Fichas'!$D$7:$D$1200,$A306,'Registro de Fichas'!$H$7:$H$1200),"")</f>
        <v/>
      </c>
      <c r="G306" s="73" t="str">
        <f aca="false">IFERROR(AVERAGEIF('Registro de Fichas'!$D$7:$D$1200,$A306,'Registro de Fichas'!$I$7:$I$1200),"")</f>
        <v/>
      </c>
      <c r="H306" s="73" t="str">
        <f aca="false">IFERROR(AVERAGEIF('Registro de Fichas'!$D$7:$D$1200,$A306,'Registro de Fichas'!$J$7:$J$1200),"")</f>
        <v/>
      </c>
      <c r="I306" s="56" t="str">
        <f aca="false">IF($C306=0,"",IF($C306&gt;=Parametros!$B$27,"OK","FALTAN "&amp;(Parametros!$B$27-$C306)))</f>
        <v/>
      </c>
      <c r="J306" s="56" t="str">
        <f aca="false">IF($C306=0,"",SUMIF('Registro de Fichas'!$D$7:$D$1200,$A306,'Registro de Fichas'!$M$7:$M$1200))</f>
        <v/>
      </c>
      <c r="K306" s="74" t="n">
        <f aca="false">COUNTIFS('Registro de Fichas'!$D$7:$D$1200,$A306,'Registro de Fichas'!$K$7:$K$1200,"Contenedores")</f>
        <v>0</v>
      </c>
      <c r="L306" s="74" t="n">
        <f aca="false">COUNTIFS('Registro de Fichas'!$D$7:$D$1200,$A306,'Registro de Fichas'!$K$7:$K$1200,"Granel solido")</f>
        <v>0</v>
      </c>
      <c r="M306" s="74" t="n">
        <f aca="false">COUNTIFS('Registro de Fichas'!$D$7:$D$1200,$A306,'Registro de Fichas'!$K$7:$K$1200,"Carga fraccionada")</f>
        <v>0</v>
      </c>
      <c r="N306" s="74" t="n">
        <f aca="false">COUNTIFS('Registro de Fichas'!$D$7:$D$1200,$A306,'Registro de Fichas'!$K$7:$K$1200,"Big bags")</f>
        <v>0</v>
      </c>
      <c r="O306" s="74" t="n">
        <f aca="false">COUNTIFS('Registro de Fichas'!$D$7:$D$1200,$A306,'Registro de Fichas'!$L$7:$L$1200,"Si")</f>
        <v>0</v>
      </c>
      <c r="P306" s="75" t="str">
        <f aca="false">IF($C306=0,"",IF($C306&lt;Parametros!$B$27,"EVIDENCIA INSUFICIENTE",IF(AND($D306&lt;&gt;"",$C306&lt;$D306*Parametros!$B$28),"BAJO % MUESTREO",IF($J306&lt;Parametros!$B$31,"POCOS EVALUADORES","VALIDA"))))</f>
        <v/>
      </c>
    </row>
    <row r="308" customFormat="false" ht="15" hidden="false" customHeight="true" outlineLevel="0" collapsed="false">
      <c r="A308" s="76" t="s">
        <v>214</v>
      </c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</row>
    <row r="309" customFormat="false" ht="15" hidden="false" customHeight="true" outlineLevel="0" collapsed="false">
      <c r="A309" s="77" t="s">
        <v>215</v>
      </c>
      <c r="B309" s="77"/>
      <c r="C309" s="30" t="s">
        <v>216</v>
      </c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</row>
    <row r="310" customFormat="false" ht="15" hidden="false" customHeight="true" outlineLevel="0" collapsed="false">
      <c r="A310" s="77" t="s">
        <v>217</v>
      </c>
      <c r="B310" s="77"/>
      <c r="C310" s="30" t="s">
        <v>218</v>
      </c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</row>
    <row r="311" customFormat="false" ht="15" hidden="false" customHeight="true" outlineLevel="0" collapsed="false">
      <c r="A311" s="77" t="s">
        <v>219</v>
      </c>
      <c r="B311" s="77"/>
      <c r="C311" s="30" t="s">
        <v>220</v>
      </c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</row>
    <row r="312" customFormat="false" ht="15" hidden="false" customHeight="true" outlineLevel="0" collapsed="false">
      <c r="A312" s="77" t="s">
        <v>221</v>
      </c>
      <c r="B312" s="77"/>
      <c r="C312" s="30" t="s">
        <v>222</v>
      </c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</row>
    <row r="313" customFormat="false" ht="15" hidden="false" customHeight="true" outlineLevel="0" collapsed="false">
      <c r="A313" s="5" t="s">
        <v>223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</sheetData>
  <mergeCells count="20">
    <mergeCell ref="A1:P1"/>
    <mergeCell ref="A2:P2"/>
    <mergeCell ref="A3:P3"/>
    <mergeCell ref="A4:P4"/>
    <mergeCell ref="A5:B5"/>
    <mergeCell ref="C5:D5"/>
    <mergeCell ref="E5:H5"/>
    <mergeCell ref="I5:J5"/>
    <mergeCell ref="K5:N5"/>
    <mergeCell ref="O5:P5"/>
    <mergeCell ref="A308:P308"/>
    <mergeCell ref="A309:B309"/>
    <mergeCell ref="C309:P309"/>
    <mergeCell ref="A310:B310"/>
    <mergeCell ref="C310:P310"/>
    <mergeCell ref="A311:B311"/>
    <mergeCell ref="C311:P311"/>
    <mergeCell ref="A312:B312"/>
    <mergeCell ref="C312:P312"/>
    <mergeCell ref="A313:P313"/>
  </mergeCells>
  <conditionalFormatting sqref="P7:P306">
    <cfRule type="cellIs" priority="2" operator="equal" aboveAverage="0" equalAverage="0" bottom="0" percent="0" rank="0" text="" dxfId="1">
      <formula>"VALIDA"</formula>
    </cfRule>
    <cfRule type="cellIs" priority="3" operator="equal" aboveAverage="0" equalAverage="0" bottom="0" percent="0" rank="0" text="" dxfId="2">
      <formula>"EVIDENCIA INSUFICIENTE"</formula>
    </cfRule>
    <cfRule type="cellIs" priority="4" operator="equal" aboveAverage="0" equalAverage="0" bottom="0" percent="0" rank="0" text="" dxfId="3">
      <formula>"BAJO % MUESTREO"</formula>
    </cfRule>
    <cfRule type="cellIs" priority="5" operator="equal" aboveAverage="0" equalAverage="0" bottom="0" percent="0" rank="0" text="" dxfId="3">
      <formula>"POCOS EVALUADORES"</formula>
    </cfRule>
  </conditionalFormatting>
  <conditionalFormatting sqref="C7:C306">
    <cfRule type="expression" priority="6" aboveAverage="0" equalAverage="0" bottom="0" percent="0" rank="0" text="" dxfId="4">
      <formula>AND($C7&gt;0,$C7&lt;Parametros!$B$27)</formula>
    </cfRule>
  </conditionalFormatting>
  <conditionalFormatting sqref="K7:K306">
    <cfRule type="expression" priority="7" aboveAverage="0" equalAverage="0" bottom="0" percent="0" rank="0" text="" dxfId="5">
      <formula>AND($K7&gt;0,$K7&lt;Parametros!$B$30)</formula>
    </cfRule>
  </conditionalFormatting>
  <conditionalFormatting sqref="L7:L306">
    <cfRule type="expression" priority="8" aboveAverage="0" equalAverage="0" bottom="0" percent="0" rank="0" text="" dxfId="5">
      <formula>AND($L7&gt;0,$L7&lt;Parametros!$B$30)</formula>
    </cfRule>
  </conditionalFormatting>
  <conditionalFormatting sqref="M7:M306">
    <cfRule type="expression" priority="9" aboveAverage="0" equalAverage="0" bottom="0" percent="0" rank="0" text="" dxfId="5">
      <formula>AND($M7&gt;0,$M7&lt;Parametros!$B$30)</formula>
    </cfRule>
  </conditionalFormatting>
  <conditionalFormatting sqref="N7:N306">
    <cfRule type="expression" priority="10" aboveAverage="0" equalAverage="0" bottom="0" percent="0" rank="0" text="" dxfId="5">
      <formula>AND($N7&gt;0,$N7&lt;Parametros!$B$30)</formula>
    </cfRule>
  </conditionalFormatting>
  <conditionalFormatting sqref="O7:O306">
    <cfRule type="cellIs" priority="11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2026-07-12T14:49:05Z</dcterms:created>
  <dc:creator>openpyxl</dc:creator>
  <dc:description/>
  <dc:language>en-US</dc:language>
  <cp:lastModifiedBy/>
  <dcterms:modified xsi:type="dcterms:W3CDTF">2026-07-12T15:29:42Z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